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PA1PEPF000410DC\EXCELCNV\f2c3a699-97c4-460f-9bb0-a447b60dcb23\"/>
    </mc:Choice>
  </mc:AlternateContent>
  <xr:revisionPtr revIDLastSave="2176" documentId="8_{D125994D-9098-49DB-9BCC-5012024AB031}" xr6:coauthVersionLast="47" xr6:coauthVersionMax="47" xr10:uidLastSave="{80454DAA-5A14-449D-B379-1A8945D7F72B}"/>
  <bookViews>
    <workbookView xWindow="-60" yWindow="-60" windowWidth="15480" windowHeight="11640" firstSheet="1" xr2:uid="{00000000-000D-0000-FFFF-FFFF00000000}"/>
  </bookViews>
  <sheets>
    <sheet name="DATA" sheetId="1" r:id="rId1"/>
    <sheet name="LCA Criteria" sheetId="4" r:id="rId2"/>
    <sheet name="TOPSIS" sheetId="2" state="hidden" r:id="rId3"/>
    <sheet name="VIKOR" sheetId="7" state="hidden" r:id="rId4"/>
    <sheet name="ARAS" sheetId="8" state="hidden" r:id="rId5"/>
    <sheet name="Ranking &amp; analysis" sheetId="9" r:id="rId6"/>
    <sheet name="raw ranking" sheetId="13" r:id="rId7"/>
    <sheet name="Spearman" sheetId="11" state="hidden" r:id="rId8"/>
    <sheet name="Kendall" sheetId="12" state="hidden" r:id="rId9"/>
    <sheet name="raw propertie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9" l="1"/>
  <c r="E13" i="9"/>
  <c r="E14" i="9"/>
  <c r="E15" i="9"/>
  <c r="E16" i="9"/>
  <c r="E17" i="9"/>
  <c r="E11" i="9"/>
  <c r="D12" i="9"/>
  <c r="D13" i="9"/>
  <c r="D14" i="9"/>
  <c r="D15" i="9"/>
  <c r="D16" i="9"/>
  <c r="D17" i="9"/>
  <c r="D11" i="9"/>
  <c r="C12" i="9"/>
  <c r="C13" i="9"/>
  <c r="C14" i="9"/>
  <c r="C15" i="9"/>
  <c r="C16" i="9"/>
  <c r="C17" i="9"/>
  <c r="C11" i="9"/>
  <c r="B12" i="9"/>
  <c r="B13" i="9"/>
  <c r="B14" i="9"/>
  <c r="B15" i="9"/>
  <c r="B16" i="9"/>
  <c r="B17" i="9"/>
  <c r="B11" i="9"/>
  <c r="B2" i="8" a="1"/>
  <c r="B2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6" i="8"/>
  <c r="B1" i="8" a="1"/>
  <c r="B1" i="8"/>
  <c r="B6" i="1"/>
  <c r="I8" i="1"/>
  <c r="J7" i="2"/>
  <c r="J8" i="2"/>
  <c r="J9" i="2"/>
  <c r="J10" i="2"/>
  <c r="J11" i="2"/>
  <c r="J12" i="2"/>
  <c r="I12" i="1"/>
  <c r="M14" i="4"/>
  <c r="N14" i="4"/>
  <c r="O14" i="4"/>
  <c r="M15" i="4"/>
  <c r="N15" i="4"/>
  <c r="O15" i="4"/>
  <c r="M19" i="4"/>
  <c r="N19" i="4"/>
  <c r="O19" i="4"/>
  <c r="M20" i="4"/>
  <c r="N20" i="4"/>
  <c r="O20" i="4"/>
  <c r="M21" i="4"/>
  <c r="N21" i="4"/>
  <c r="O21" i="4"/>
  <c r="M22" i="4"/>
  <c r="N22" i="4"/>
  <c r="O22" i="4"/>
  <c r="M23" i="4"/>
  <c r="N23" i="4"/>
  <c r="O23" i="4"/>
  <c r="M24" i="4"/>
  <c r="N24" i="4"/>
  <c r="O24" i="4"/>
  <c r="M25" i="4"/>
  <c r="N25" i="4"/>
  <c r="O25" i="4"/>
  <c r="M26" i="4"/>
  <c r="N26" i="4"/>
  <c r="O26" i="4"/>
  <c r="M27" i="4"/>
  <c r="N27" i="4"/>
  <c r="O27" i="4"/>
  <c r="M28" i="4"/>
  <c r="N28" i="4"/>
  <c r="O28" i="4"/>
  <c r="M29" i="4"/>
  <c r="N29" i="4"/>
  <c r="O29" i="4"/>
  <c r="M30" i="4"/>
  <c r="N30" i="4"/>
  <c r="O30" i="4"/>
  <c r="M31" i="4"/>
  <c r="N31" i="4"/>
  <c r="O31" i="4"/>
  <c r="M32" i="4"/>
  <c r="N32" i="4"/>
  <c r="O32" i="4"/>
  <c r="M33" i="4"/>
  <c r="N33" i="4"/>
  <c r="O33" i="4"/>
  <c r="M13" i="4"/>
  <c r="N13" i="4"/>
  <c r="O13" i="4"/>
  <c r="I14" i="1"/>
  <c r="I13" i="1"/>
  <c r="M4" i="1"/>
  <c r="A4" i="9"/>
  <c r="A5" i="9"/>
  <c r="A6" i="9"/>
  <c r="A7" i="9"/>
  <c r="A8" i="9"/>
  <c r="A9" i="9"/>
  <c r="A10" i="9"/>
  <c r="A3" i="9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6" i="7"/>
  <c r="H7" i="2"/>
  <c r="H8" i="2"/>
  <c r="B2" i="7" a="1"/>
  <c r="B2" i="7" s="1"/>
  <c r="I11" i="1"/>
  <c r="I9" i="1"/>
  <c r="I10" i="1"/>
  <c r="C6" i="1"/>
  <c r="D6" i="1"/>
  <c r="E6" i="1"/>
  <c r="F6" i="1"/>
  <c r="G6" i="1"/>
  <c r="H6" i="1"/>
  <c r="I6" i="1"/>
  <c r="J6" i="1"/>
  <c r="A7" i="2"/>
  <c r="C7" i="2"/>
  <c r="D7" i="2"/>
  <c r="E7" i="2"/>
  <c r="F7" i="2"/>
  <c r="G7" i="2"/>
  <c r="I7" i="2"/>
  <c r="A8" i="2"/>
  <c r="C8" i="2"/>
  <c r="D8" i="2"/>
  <c r="E8" i="2"/>
  <c r="F8" i="2"/>
  <c r="G8" i="2"/>
  <c r="I8" i="2"/>
  <c r="A9" i="2"/>
  <c r="C9" i="2"/>
  <c r="D9" i="2"/>
  <c r="E9" i="2"/>
  <c r="F9" i="2"/>
  <c r="G9" i="2"/>
  <c r="H9" i="2"/>
  <c r="I9" i="2"/>
  <c r="A10" i="2"/>
  <c r="C10" i="2"/>
  <c r="D10" i="2"/>
  <c r="E10" i="2"/>
  <c r="F10" i="2"/>
  <c r="G10" i="2"/>
  <c r="H10" i="2"/>
  <c r="I10" i="2"/>
  <c r="A11" i="2"/>
  <c r="C11" i="2"/>
  <c r="D11" i="2"/>
  <c r="E11" i="2"/>
  <c r="F11" i="2"/>
  <c r="G11" i="2"/>
  <c r="H11" i="2"/>
  <c r="I11" i="2"/>
  <c r="A12" i="2"/>
  <c r="C12" i="2"/>
  <c r="D12" i="2"/>
  <c r="E12" i="2"/>
  <c r="F12" i="2"/>
  <c r="G12" i="2"/>
  <c r="H12" i="2"/>
  <c r="I12" i="2"/>
  <c r="A13" i="2"/>
  <c r="B13" i="2"/>
  <c r="C13" i="2"/>
  <c r="D13" i="2"/>
  <c r="E13" i="2"/>
  <c r="F13" i="2"/>
  <c r="G13" i="2"/>
  <c r="H13" i="2"/>
  <c r="I13" i="2"/>
  <c r="J13" i="2"/>
  <c r="A14" i="2"/>
  <c r="B14" i="2"/>
  <c r="C14" i="2"/>
  <c r="D14" i="2"/>
  <c r="E14" i="2"/>
  <c r="F14" i="2"/>
  <c r="G14" i="2"/>
  <c r="H14" i="2"/>
  <c r="I14" i="2"/>
  <c r="J14" i="2"/>
  <c r="A15" i="2"/>
  <c r="B15" i="2"/>
  <c r="C15" i="2"/>
  <c r="D15" i="2"/>
  <c r="E15" i="2"/>
  <c r="F15" i="2"/>
  <c r="G15" i="2"/>
  <c r="H15" i="2"/>
  <c r="I15" i="2"/>
  <c r="J15" i="2"/>
  <c r="A16" i="2"/>
  <c r="B16" i="2"/>
  <c r="H16" i="2"/>
  <c r="I16" i="2"/>
  <c r="J16" i="2"/>
  <c r="A17" i="2"/>
  <c r="B17" i="2"/>
  <c r="H17" i="2"/>
  <c r="I17" i="2"/>
  <c r="J17" i="2"/>
  <c r="A18" i="2"/>
  <c r="B18" i="2"/>
  <c r="H18" i="2"/>
  <c r="I18" i="2"/>
  <c r="J18" i="2"/>
  <c r="A19" i="2"/>
  <c r="B19" i="2"/>
  <c r="H19" i="2"/>
  <c r="I19" i="2"/>
  <c r="J19" i="2"/>
  <c r="A20" i="2"/>
  <c r="B20" i="2"/>
  <c r="H20" i="2"/>
  <c r="I20" i="2"/>
  <c r="J20" i="2"/>
  <c r="A21" i="2"/>
  <c r="B21" i="2"/>
  <c r="H21" i="2"/>
  <c r="I21" i="2"/>
  <c r="J21" i="2"/>
  <c r="A22" i="2"/>
  <c r="B22" i="2"/>
  <c r="H22" i="2"/>
  <c r="I22" i="2"/>
  <c r="J22" i="2"/>
  <c r="A23" i="2"/>
  <c r="B23" i="2"/>
  <c r="H23" i="2"/>
  <c r="I23" i="2"/>
  <c r="J23" i="2"/>
  <c r="A24" i="2"/>
  <c r="B24" i="2"/>
  <c r="H24" i="2"/>
  <c r="I24" i="2"/>
  <c r="J24" i="2"/>
  <c r="A25" i="2"/>
  <c r="B25" i="2"/>
  <c r="C25" i="2"/>
  <c r="D25" i="2"/>
  <c r="E25" i="2"/>
  <c r="F25" i="2"/>
  <c r="G25" i="2"/>
  <c r="H25" i="2"/>
  <c r="I25" i="2"/>
  <c r="J25" i="2"/>
  <c r="A26" i="2"/>
  <c r="B26" i="2"/>
  <c r="C26" i="2"/>
  <c r="D26" i="2"/>
  <c r="E26" i="2"/>
  <c r="F26" i="2"/>
  <c r="G26" i="2"/>
  <c r="H26" i="2"/>
  <c r="I26" i="2"/>
  <c r="J26" i="2"/>
  <c r="A27" i="2"/>
  <c r="B27" i="2"/>
  <c r="C27" i="2"/>
  <c r="D27" i="2"/>
  <c r="E27" i="2"/>
  <c r="F27" i="2"/>
  <c r="G27" i="2"/>
  <c r="H27" i="2"/>
  <c r="I27" i="2"/>
  <c r="J27" i="2"/>
  <c r="A28" i="2"/>
  <c r="B28" i="2"/>
  <c r="C28" i="2"/>
  <c r="D28" i="2"/>
  <c r="E28" i="2"/>
  <c r="F28" i="2"/>
  <c r="G28" i="2"/>
  <c r="H28" i="2"/>
  <c r="I28" i="2"/>
  <c r="J28" i="2"/>
  <c r="A29" i="2"/>
  <c r="B29" i="2"/>
  <c r="C29" i="2"/>
  <c r="D29" i="2"/>
  <c r="E29" i="2"/>
  <c r="F29" i="2"/>
  <c r="G29" i="2"/>
  <c r="H29" i="2"/>
  <c r="I29" i="2"/>
  <c r="J29" i="2"/>
  <c r="A30" i="2"/>
  <c r="B30" i="2"/>
  <c r="C30" i="2"/>
  <c r="D30" i="2"/>
  <c r="E30" i="2"/>
  <c r="F30" i="2"/>
  <c r="G30" i="2"/>
  <c r="H30" i="2"/>
  <c r="I30" i="2"/>
  <c r="J30" i="2"/>
  <c r="A31" i="2"/>
  <c r="B31" i="2"/>
  <c r="C31" i="2"/>
  <c r="D31" i="2"/>
  <c r="E31" i="2"/>
  <c r="F31" i="2"/>
  <c r="G31" i="2"/>
  <c r="H31" i="2"/>
  <c r="I31" i="2"/>
  <c r="J31" i="2"/>
  <c r="A32" i="2"/>
  <c r="B32" i="2"/>
  <c r="C32" i="2"/>
  <c r="D32" i="2"/>
  <c r="E32" i="2"/>
  <c r="F32" i="2"/>
  <c r="G32" i="2"/>
  <c r="H32" i="2"/>
  <c r="I32" i="2"/>
  <c r="J32" i="2"/>
  <c r="A33" i="2"/>
  <c r="B33" i="2"/>
  <c r="C33" i="2"/>
  <c r="D33" i="2"/>
  <c r="E33" i="2"/>
  <c r="F33" i="2"/>
  <c r="G33" i="2"/>
  <c r="H33" i="2"/>
  <c r="I33" i="2"/>
  <c r="J33" i="2"/>
  <c r="A34" i="2"/>
  <c r="B34" i="2"/>
  <c r="C34" i="2"/>
  <c r="D34" i="2"/>
  <c r="E34" i="2"/>
  <c r="F34" i="2"/>
  <c r="G34" i="2"/>
  <c r="H34" i="2"/>
  <c r="I34" i="2"/>
  <c r="J34" i="2"/>
  <c r="A35" i="2"/>
  <c r="B35" i="2"/>
  <c r="C35" i="2"/>
  <c r="D35" i="2"/>
  <c r="E35" i="2"/>
  <c r="F35" i="2"/>
  <c r="G35" i="2"/>
  <c r="H35" i="2"/>
  <c r="I35" i="2"/>
  <c r="J35" i="2"/>
  <c r="A36" i="2"/>
  <c r="B36" i="2"/>
  <c r="C36" i="2"/>
  <c r="D36" i="2"/>
  <c r="E36" i="2"/>
  <c r="F36" i="2"/>
  <c r="G36" i="2"/>
  <c r="H36" i="2"/>
  <c r="I36" i="2"/>
  <c r="J36" i="2"/>
  <c r="A37" i="2"/>
  <c r="B37" i="2"/>
  <c r="C37" i="2"/>
  <c r="D37" i="2"/>
  <c r="E37" i="2"/>
  <c r="F37" i="2"/>
  <c r="G37" i="2"/>
  <c r="H37" i="2"/>
  <c r="I37" i="2"/>
  <c r="J37" i="2"/>
  <c r="A38" i="2"/>
  <c r="B38" i="2"/>
  <c r="C38" i="2"/>
  <c r="D38" i="2"/>
  <c r="E38" i="2"/>
  <c r="F38" i="2"/>
  <c r="G38" i="2"/>
  <c r="H38" i="2"/>
  <c r="I38" i="2"/>
  <c r="J38" i="2"/>
  <c r="A39" i="2"/>
  <c r="B39" i="2"/>
  <c r="C39" i="2"/>
  <c r="D39" i="2"/>
  <c r="E39" i="2"/>
  <c r="F39" i="2"/>
  <c r="G39" i="2"/>
  <c r="H39" i="2"/>
  <c r="I39" i="2"/>
  <c r="J39" i="2"/>
  <c r="A40" i="2"/>
  <c r="B40" i="2"/>
  <c r="C40" i="2"/>
  <c r="D40" i="2"/>
  <c r="E40" i="2"/>
  <c r="F40" i="2"/>
  <c r="G40" i="2"/>
  <c r="H40" i="2"/>
  <c r="I40" i="2"/>
  <c r="J40" i="2"/>
  <c r="A41" i="2"/>
  <c r="B41" i="2"/>
  <c r="C41" i="2"/>
  <c r="D41" i="2"/>
  <c r="E41" i="2"/>
  <c r="F41" i="2"/>
  <c r="G41" i="2"/>
  <c r="H41" i="2"/>
  <c r="I41" i="2"/>
  <c r="J41" i="2"/>
  <c r="A42" i="2"/>
  <c r="B42" i="2"/>
  <c r="C42" i="2"/>
  <c r="D42" i="2"/>
  <c r="E42" i="2"/>
  <c r="F42" i="2"/>
  <c r="G42" i="2"/>
  <c r="H42" i="2"/>
  <c r="I42" i="2"/>
  <c r="J42" i="2"/>
  <c r="A43" i="2"/>
  <c r="B43" i="2"/>
  <c r="C43" i="2"/>
  <c r="D43" i="2"/>
  <c r="E43" i="2"/>
  <c r="F43" i="2"/>
  <c r="G43" i="2"/>
  <c r="H43" i="2"/>
  <c r="I43" i="2"/>
  <c r="J43" i="2"/>
  <c r="A44" i="2"/>
  <c r="B44" i="2"/>
  <c r="C44" i="2"/>
  <c r="D44" i="2"/>
  <c r="E44" i="2"/>
  <c r="F44" i="2"/>
  <c r="G44" i="2"/>
  <c r="H44" i="2"/>
  <c r="I44" i="2"/>
  <c r="J44" i="2"/>
  <c r="A45" i="2"/>
  <c r="B45" i="2"/>
  <c r="C45" i="2"/>
  <c r="D45" i="2"/>
  <c r="E45" i="2"/>
  <c r="F45" i="2"/>
  <c r="G45" i="2"/>
  <c r="H45" i="2"/>
  <c r="I45" i="2"/>
  <c r="J45" i="2"/>
  <c r="A46" i="2"/>
  <c r="B46" i="2"/>
  <c r="C46" i="2"/>
  <c r="D46" i="2"/>
  <c r="E46" i="2"/>
  <c r="F46" i="2"/>
  <c r="G46" i="2"/>
  <c r="H46" i="2"/>
  <c r="I46" i="2"/>
  <c r="J46" i="2"/>
  <c r="A47" i="2"/>
  <c r="B47" i="2"/>
  <c r="C47" i="2"/>
  <c r="D47" i="2"/>
  <c r="E47" i="2"/>
  <c r="F47" i="2"/>
  <c r="G47" i="2"/>
  <c r="H47" i="2"/>
  <c r="I47" i="2"/>
  <c r="J47" i="2"/>
  <c r="A48" i="2"/>
  <c r="B48" i="2"/>
  <c r="C48" i="2"/>
  <c r="D48" i="2"/>
  <c r="E48" i="2"/>
  <c r="F48" i="2"/>
  <c r="G48" i="2"/>
  <c r="H48" i="2"/>
  <c r="I48" i="2"/>
  <c r="J48" i="2"/>
  <c r="A49" i="2"/>
  <c r="B49" i="2"/>
  <c r="C49" i="2"/>
  <c r="D49" i="2"/>
  <c r="E49" i="2"/>
  <c r="F49" i="2"/>
  <c r="G49" i="2"/>
  <c r="H49" i="2"/>
  <c r="I49" i="2"/>
  <c r="J49" i="2"/>
  <c r="A50" i="2"/>
  <c r="B50" i="2"/>
  <c r="C50" i="2"/>
  <c r="D50" i="2"/>
  <c r="E50" i="2"/>
  <c r="F50" i="2"/>
  <c r="G50" i="2"/>
  <c r="H50" i="2"/>
  <c r="I50" i="2"/>
  <c r="J50" i="2"/>
  <c r="A51" i="2"/>
  <c r="B51" i="2"/>
  <c r="C51" i="2"/>
  <c r="D51" i="2"/>
  <c r="E51" i="2"/>
  <c r="F51" i="2"/>
  <c r="G51" i="2"/>
  <c r="H51" i="2"/>
  <c r="I51" i="2"/>
  <c r="J51" i="2"/>
  <c r="A52" i="2"/>
  <c r="B52" i="2"/>
  <c r="C52" i="2"/>
  <c r="D52" i="2"/>
  <c r="E52" i="2"/>
  <c r="F52" i="2"/>
  <c r="G52" i="2"/>
  <c r="H52" i="2"/>
  <c r="I52" i="2"/>
  <c r="J52" i="2"/>
  <c r="A53" i="2"/>
  <c r="B53" i="2"/>
  <c r="C53" i="2"/>
  <c r="D53" i="2"/>
  <c r="E53" i="2"/>
  <c r="F53" i="2"/>
  <c r="G53" i="2"/>
  <c r="H53" i="2"/>
  <c r="I53" i="2"/>
  <c r="J53" i="2"/>
  <c r="A54" i="2"/>
  <c r="B54" i="2"/>
  <c r="C54" i="2"/>
  <c r="D54" i="2"/>
  <c r="E54" i="2"/>
  <c r="F54" i="2"/>
  <c r="G54" i="2"/>
  <c r="H54" i="2"/>
  <c r="I54" i="2"/>
  <c r="J54" i="2"/>
  <c r="A55" i="2"/>
  <c r="B55" i="2"/>
  <c r="C55" i="2"/>
  <c r="D55" i="2"/>
  <c r="E55" i="2"/>
  <c r="F55" i="2"/>
  <c r="G55" i="2"/>
  <c r="H55" i="2"/>
  <c r="I55" i="2"/>
  <c r="J55" i="2"/>
  <c r="A56" i="2"/>
  <c r="B56" i="2"/>
  <c r="C56" i="2"/>
  <c r="D56" i="2"/>
  <c r="E56" i="2"/>
  <c r="F56" i="2"/>
  <c r="G56" i="2"/>
  <c r="H56" i="2"/>
  <c r="I56" i="2"/>
  <c r="J56" i="2"/>
  <c r="A57" i="2"/>
  <c r="B57" i="2"/>
  <c r="C57" i="2"/>
  <c r="D57" i="2"/>
  <c r="E57" i="2"/>
  <c r="F57" i="2"/>
  <c r="G57" i="2"/>
  <c r="H57" i="2"/>
  <c r="I57" i="2"/>
  <c r="J57" i="2"/>
  <c r="A58" i="2"/>
  <c r="B58" i="2"/>
  <c r="C58" i="2"/>
  <c r="D58" i="2"/>
  <c r="E58" i="2"/>
  <c r="F58" i="2"/>
  <c r="G58" i="2"/>
  <c r="H58" i="2"/>
  <c r="I58" i="2"/>
  <c r="J58" i="2"/>
  <c r="A59" i="2"/>
  <c r="B59" i="2"/>
  <c r="C59" i="2"/>
  <c r="D59" i="2"/>
  <c r="E59" i="2"/>
  <c r="F59" i="2"/>
  <c r="G59" i="2"/>
  <c r="H59" i="2"/>
  <c r="I59" i="2"/>
  <c r="J59" i="2"/>
  <c r="A60" i="2"/>
  <c r="B60" i="2"/>
  <c r="C60" i="2"/>
  <c r="D60" i="2"/>
  <c r="E60" i="2"/>
  <c r="F60" i="2"/>
  <c r="G60" i="2"/>
  <c r="H60" i="2"/>
  <c r="I60" i="2"/>
  <c r="J60" i="2"/>
  <c r="A61" i="2"/>
  <c r="B61" i="2"/>
  <c r="C61" i="2"/>
  <c r="D61" i="2"/>
  <c r="E61" i="2"/>
  <c r="F61" i="2"/>
  <c r="G61" i="2"/>
  <c r="H61" i="2"/>
  <c r="I61" i="2"/>
  <c r="J61" i="2"/>
  <c r="A62" i="2"/>
  <c r="B62" i="2"/>
  <c r="C62" i="2"/>
  <c r="D62" i="2"/>
  <c r="E62" i="2"/>
  <c r="F62" i="2"/>
  <c r="G62" i="2"/>
  <c r="H62" i="2"/>
  <c r="I62" i="2"/>
  <c r="J62" i="2"/>
  <c r="A63" i="2"/>
  <c r="B63" i="2"/>
  <c r="C63" i="2"/>
  <c r="D63" i="2"/>
  <c r="E63" i="2"/>
  <c r="F63" i="2"/>
  <c r="G63" i="2"/>
  <c r="H63" i="2"/>
  <c r="I63" i="2"/>
  <c r="J63" i="2"/>
  <c r="A64" i="2"/>
  <c r="B64" i="2"/>
  <c r="C64" i="2"/>
  <c r="D64" i="2"/>
  <c r="E64" i="2"/>
  <c r="F64" i="2"/>
  <c r="G64" i="2"/>
  <c r="H64" i="2"/>
  <c r="I64" i="2"/>
  <c r="J64" i="2"/>
  <c r="A65" i="2"/>
  <c r="B65" i="2"/>
  <c r="C65" i="2"/>
  <c r="D65" i="2"/>
  <c r="E65" i="2"/>
  <c r="F65" i="2"/>
  <c r="G65" i="2"/>
  <c r="H65" i="2"/>
  <c r="I65" i="2"/>
  <c r="J65" i="2"/>
  <c r="A66" i="2"/>
  <c r="B66" i="2"/>
  <c r="C66" i="2"/>
  <c r="D66" i="2"/>
  <c r="E66" i="2"/>
  <c r="F66" i="2"/>
  <c r="G66" i="2"/>
  <c r="H66" i="2"/>
  <c r="I66" i="2"/>
  <c r="J66" i="2"/>
  <c r="A67" i="2"/>
  <c r="B67" i="2"/>
  <c r="C67" i="2"/>
  <c r="D67" i="2"/>
  <c r="E67" i="2"/>
  <c r="F67" i="2"/>
  <c r="G67" i="2"/>
  <c r="H67" i="2"/>
  <c r="I67" i="2"/>
  <c r="J67" i="2"/>
  <c r="A68" i="2"/>
  <c r="B68" i="2"/>
  <c r="C68" i="2"/>
  <c r="D68" i="2"/>
  <c r="E68" i="2"/>
  <c r="F68" i="2"/>
  <c r="G68" i="2"/>
  <c r="H68" i="2"/>
  <c r="I68" i="2"/>
  <c r="J68" i="2"/>
  <c r="A69" i="2"/>
  <c r="B69" i="2"/>
  <c r="C69" i="2"/>
  <c r="D69" i="2"/>
  <c r="E69" i="2"/>
  <c r="F69" i="2"/>
  <c r="G69" i="2"/>
  <c r="H69" i="2"/>
  <c r="I69" i="2"/>
  <c r="J69" i="2"/>
  <c r="A70" i="2"/>
  <c r="B70" i="2"/>
  <c r="C70" i="2"/>
  <c r="D70" i="2"/>
  <c r="E70" i="2"/>
  <c r="F70" i="2"/>
  <c r="G70" i="2"/>
  <c r="H70" i="2"/>
  <c r="I70" i="2"/>
  <c r="J70" i="2"/>
  <c r="A71" i="2"/>
  <c r="B71" i="2"/>
  <c r="C71" i="2"/>
  <c r="D71" i="2"/>
  <c r="E71" i="2"/>
  <c r="F71" i="2"/>
  <c r="G71" i="2"/>
  <c r="H71" i="2"/>
  <c r="I71" i="2"/>
  <c r="J71" i="2"/>
  <c r="A72" i="2"/>
  <c r="B72" i="2"/>
  <c r="C72" i="2"/>
  <c r="D72" i="2"/>
  <c r="E72" i="2"/>
  <c r="F72" i="2"/>
  <c r="G72" i="2"/>
  <c r="H72" i="2"/>
  <c r="I72" i="2"/>
  <c r="J72" i="2"/>
  <c r="A73" i="2"/>
  <c r="B73" i="2"/>
  <c r="C73" i="2"/>
  <c r="D73" i="2"/>
  <c r="E73" i="2"/>
  <c r="F73" i="2"/>
  <c r="G73" i="2"/>
  <c r="H73" i="2"/>
  <c r="I73" i="2"/>
  <c r="J73" i="2"/>
  <c r="A74" i="2"/>
  <c r="B74" i="2"/>
  <c r="C74" i="2"/>
  <c r="D74" i="2"/>
  <c r="E74" i="2"/>
  <c r="F74" i="2"/>
  <c r="G74" i="2"/>
  <c r="H74" i="2"/>
  <c r="I74" i="2"/>
  <c r="J74" i="2"/>
  <c r="A75" i="2"/>
  <c r="B75" i="2"/>
  <c r="C75" i="2"/>
  <c r="D75" i="2"/>
  <c r="E75" i="2"/>
  <c r="F75" i="2"/>
  <c r="G75" i="2"/>
  <c r="H75" i="2"/>
  <c r="I75" i="2"/>
  <c r="J75" i="2"/>
  <c r="A76" i="2"/>
  <c r="B76" i="2"/>
  <c r="C76" i="2"/>
  <c r="D76" i="2"/>
  <c r="E76" i="2"/>
  <c r="F76" i="2"/>
  <c r="G76" i="2"/>
  <c r="H76" i="2"/>
  <c r="I76" i="2"/>
  <c r="J76" i="2"/>
  <c r="A77" i="2"/>
  <c r="B77" i="2"/>
  <c r="C77" i="2"/>
  <c r="D77" i="2"/>
  <c r="E77" i="2"/>
  <c r="F77" i="2"/>
  <c r="G77" i="2"/>
  <c r="H77" i="2"/>
  <c r="I77" i="2"/>
  <c r="J77" i="2"/>
  <c r="A78" i="2"/>
  <c r="B78" i="2"/>
  <c r="C78" i="2"/>
  <c r="D78" i="2"/>
  <c r="E78" i="2"/>
  <c r="F78" i="2"/>
  <c r="G78" i="2"/>
  <c r="H78" i="2"/>
  <c r="I78" i="2"/>
  <c r="J78" i="2"/>
  <c r="A79" i="2"/>
  <c r="B79" i="2"/>
  <c r="C79" i="2"/>
  <c r="D79" i="2"/>
  <c r="E79" i="2"/>
  <c r="F79" i="2"/>
  <c r="G79" i="2"/>
  <c r="H79" i="2"/>
  <c r="I79" i="2"/>
  <c r="J79" i="2"/>
  <c r="A80" i="2"/>
  <c r="B80" i="2"/>
  <c r="C80" i="2"/>
  <c r="D80" i="2"/>
  <c r="E80" i="2"/>
  <c r="F80" i="2"/>
  <c r="G80" i="2"/>
  <c r="H80" i="2"/>
  <c r="I80" i="2"/>
  <c r="J80" i="2"/>
  <c r="A81" i="2"/>
  <c r="B81" i="2"/>
  <c r="C81" i="2"/>
  <c r="D81" i="2"/>
  <c r="E81" i="2"/>
  <c r="F81" i="2"/>
  <c r="G81" i="2"/>
  <c r="H81" i="2"/>
  <c r="I81" i="2"/>
  <c r="J81" i="2"/>
  <c r="A82" i="2"/>
  <c r="B82" i="2"/>
  <c r="C82" i="2"/>
  <c r="D82" i="2"/>
  <c r="E82" i="2"/>
  <c r="F82" i="2"/>
  <c r="G82" i="2"/>
  <c r="H82" i="2"/>
  <c r="I82" i="2"/>
  <c r="J82" i="2"/>
  <c r="A83" i="2"/>
  <c r="B83" i="2"/>
  <c r="C83" i="2"/>
  <c r="D83" i="2"/>
  <c r="E83" i="2"/>
  <c r="F83" i="2"/>
  <c r="G83" i="2"/>
  <c r="H83" i="2"/>
  <c r="I83" i="2"/>
  <c r="J83" i="2"/>
  <c r="A84" i="2"/>
  <c r="B84" i="2"/>
  <c r="C84" i="2"/>
  <c r="D84" i="2"/>
  <c r="E84" i="2"/>
  <c r="F84" i="2"/>
  <c r="G84" i="2"/>
  <c r="H84" i="2"/>
  <c r="I84" i="2"/>
  <c r="J84" i="2"/>
  <c r="A85" i="2"/>
  <c r="B85" i="2"/>
  <c r="C85" i="2"/>
  <c r="D85" i="2"/>
  <c r="E85" i="2"/>
  <c r="F85" i="2"/>
  <c r="G85" i="2"/>
  <c r="H85" i="2"/>
  <c r="I85" i="2"/>
  <c r="J85" i="2"/>
  <c r="A86" i="2"/>
  <c r="B86" i="2"/>
  <c r="C86" i="2"/>
  <c r="D86" i="2"/>
  <c r="E86" i="2"/>
  <c r="F86" i="2"/>
  <c r="G86" i="2"/>
  <c r="H86" i="2"/>
  <c r="I86" i="2"/>
  <c r="J86" i="2"/>
  <c r="A87" i="2"/>
  <c r="B87" i="2"/>
  <c r="C87" i="2"/>
  <c r="D87" i="2"/>
  <c r="E87" i="2"/>
  <c r="F87" i="2"/>
  <c r="G87" i="2"/>
  <c r="H87" i="2"/>
  <c r="I87" i="2"/>
  <c r="J87" i="2"/>
  <c r="A88" i="2"/>
  <c r="B88" i="2"/>
  <c r="C88" i="2"/>
  <c r="D88" i="2"/>
  <c r="E88" i="2"/>
  <c r="F88" i="2"/>
  <c r="G88" i="2"/>
  <c r="H88" i="2"/>
  <c r="I88" i="2"/>
  <c r="J88" i="2"/>
  <c r="A89" i="2"/>
  <c r="B89" i="2"/>
  <c r="C89" i="2"/>
  <c r="D89" i="2"/>
  <c r="E89" i="2"/>
  <c r="F89" i="2"/>
  <c r="G89" i="2"/>
  <c r="H89" i="2"/>
  <c r="I89" i="2"/>
  <c r="J89" i="2"/>
  <c r="A90" i="2"/>
  <c r="B90" i="2"/>
  <c r="C90" i="2"/>
  <c r="D90" i="2"/>
  <c r="E90" i="2"/>
  <c r="F90" i="2"/>
  <c r="G90" i="2"/>
  <c r="H90" i="2"/>
  <c r="I90" i="2"/>
  <c r="J90" i="2"/>
  <c r="A91" i="2"/>
  <c r="B91" i="2"/>
  <c r="C91" i="2"/>
  <c r="D91" i="2"/>
  <c r="E91" i="2"/>
  <c r="F91" i="2"/>
  <c r="G91" i="2"/>
  <c r="H91" i="2"/>
  <c r="I91" i="2"/>
  <c r="J91" i="2"/>
  <c r="A92" i="2"/>
  <c r="B92" i="2"/>
  <c r="C92" i="2"/>
  <c r="D92" i="2"/>
  <c r="E92" i="2"/>
  <c r="F92" i="2"/>
  <c r="G92" i="2"/>
  <c r="H92" i="2"/>
  <c r="I92" i="2"/>
  <c r="J92" i="2"/>
  <c r="A93" i="2"/>
  <c r="B93" i="2"/>
  <c r="C93" i="2"/>
  <c r="D93" i="2"/>
  <c r="E93" i="2"/>
  <c r="F93" i="2"/>
  <c r="G93" i="2"/>
  <c r="H93" i="2"/>
  <c r="I93" i="2"/>
  <c r="J93" i="2"/>
  <c r="A94" i="2"/>
  <c r="B94" i="2"/>
  <c r="C94" i="2"/>
  <c r="D94" i="2"/>
  <c r="E94" i="2"/>
  <c r="F94" i="2"/>
  <c r="G94" i="2"/>
  <c r="H94" i="2"/>
  <c r="I94" i="2"/>
  <c r="J94" i="2"/>
  <c r="A95" i="2"/>
  <c r="B95" i="2"/>
  <c r="C95" i="2"/>
  <c r="D95" i="2"/>
  <c r="E95" i="2"/>
  <c r="F95" i="2"/>
  <c r="G95" i="2"/>
  <c r="H95" i="2"/>
  <c r="I95" i="2"/>
  <c r="J95" i="2"/>
  <c r="A96" i="2"/>
  <c r="B96" i="2"/>
  <c r="C96" i="2"/>
  <c r="D96" i="2"/>
  <c r="E96" i="2"/>
  <c r="F96" i="2"/>
  <c r="G96" i="2"/>
  <c r="H96" i="2"/>
  <c r="I96" i="2"/>
  <c r="J96" i="2"/>
  <c r="A97" i="2"/>
  <c r="B97" i="2"/>
  <c r="C97" i="2"/>
  <c r="D97" i="2"/>
  <c r="E97" i="2"/>
  <c r="F97" i="2"/>
  <c r="G97" i="2"/>
  <c r="H97" i="2"/>
  <c r="I97" i="2"/>
  <c r="J97" i="2"/>
  <c r="A98" i="2"/>
  <c r="B98" i="2"/>
  <c r="C98" i="2"/>
  <c r="D98" i="2"/>
  <c r="E98" i="2"/>
  <c r="F98" i="2"/>
  <c r="G98" i="2"/>
  <c r="H98" i="2"/>
  <c r="I98" i="2"/>
  <c r="J98" i="2"/>
  <c r="A99" i="2"/>
  <c r="B99" i="2"/>
  <c r="C99" i="2"/>
  <c r="D99" i="2"/>
  <c r="E99" i="2"/>
  <c r="F99" i="2"/>
  <c r="G99" i="2"/>
  <c r="H99" i="2"/>
  <c r="I99" i="2"/>
  <c r="J99" i="2"/>
  <c r="A100" i="2"/>
  <c r="B100" i="2"/>
  <c r="C100" i="2"/>
  <c r="D100" i="2"/>
  <c r="E100" i="2"/>
  <c r="F100" i="2"/>
  <c r="G100" i="2"/>
  <c r="H100" i="2"/>
  <c r="I100" i="2"/>
  <c r="J100" i="2"/>
  <c r="A101" i="2"/>
  <c r="B101" i="2"/>
  <c r="C101" i="2"/>
  <c r="D101" i="2"/>
  <c r="E101" i="2"/>
  <c r="F101" i="2"/>
  <c r="G101" i="2"/>
  <c r="H101" i="2"/>
  <c r="I101" i="2"/>
  <c r="J101" i="2"/>
  <c r="A102" i="2"/>
  <c r="B102" i="2"/>
  <c r="C102" i="2"/>
  <c r="D102" i="2"/>
  <c r="E102" i="2"/>
  <c r="F102" i="2"/>
  <c r="G102" i="2"/>
  <c r="H102" i="2"/>
  <c r="I102" i="2"/>
  <c r="J102" i="2"/>
  <c r="A103" i="2"/>
  <c r="B103" i="2"/>
  <c r="C103" i="2"/>
  <c r="D103" i="2"/>
  <c r="E103" i="2"/>
  <c r="F103" i="2"/>
  <c r="G103" i="2"/>
  <c r="H103" i="2"/>
  <c r="I103" i="2"/>
  <c r="J103" i="2"/>
  <c r="A104" i="2"/>
  <c r="B104" i="2"/>
  <c r="C104" i="2"/>
  <c r="D104" i="2"/>
  <c r="E104" i="2"/>
  <c r="F104" i="2"/>
  <c r="G104" i="2"/>
  <c r="H104" i="2"/>
  <c r="I104" i="2"/>
  <c r="J104" i="2"/>
  <c r="A105" i="2"/>
  <c r="B105" i="2"/>
  <c r="C105" i="2"/>
  <c r="D105" i="2"/>
  <c r="E105" i="2"/>
  <c r="F105" i="2"/>
  <c r="G105" i="2"/>
  <c r="H105" i="2"/>
  <c r="I105" i="2"/>
  <c r="J105" i="2"/>
  <c r="D6" i="2"/>
  <c r="E6" i="2"/>
  <c r="F6" i="2"/>
  <c r="G6" i="2"/>
  <c r="H6" i="2"/>
  <c r="I6" i="2"/>
  <c r="J6" i="2"/>
  <c r="C6" i="2"/>
  <c r="A6" i="2"/>
  <c r="J14" i="4"/>
  <c r="K14" i="4"/>
  <c r="L14" i="4"/>
  <c r="J15" i="4"/>
  <c r="K15" i="4"/>
  <c r="L15" i="4"/>
  <c r="J19" i="4"/>
  <c r="K19" i="4"/>
  <c r="L19" i="4"/>
  <c r="J20" i="4"/>
  <c r="K20" i="4"/>
  <c r="L20" i="4"/>
  <c r="J21" i="4"/>
  <c r="K21" i="4"/>
  <c r="L21" i="4"/>
  <c r="J22" i="4"/>
  <c r="K22" i="4"/>
  <c r="L22" i="4"/>
  <c r="J23" i="4"/>
  <c r="K23" i="4"/>
  <c r="L23" i="4"/>
  <c r="J24" i="4"/>
  <c r="K24" i="4"/>
  <c r="L24" i="4"/>
  <c r="J25" i="4"/>
  <c r="K25" i="4"/>
  <c r="L25" i="4"/>
  <c r="J26" i="4"/>
  <c r="K26" i="4"/>
  <c r="L26" i="4"/>
  <c r="J27" i="4"/>
  <c r="K27" i="4"/>
  <c r="L27" i="4"/>
  <c r="J28" i="4"/>
  <c r="K28" i="4"/>
  <c r="L28" i="4"/>
  <c r="J29" i="4"/>
  <c r="K29" i="4"/>
  <c r="L29" i="4"/>
  <c r="J30" i="4"/>
  <c r="K30" i="4"/>
  <c r="L30" i="4"/>
  <c r="J31" i="4"/>
  <c r="K31" i="4"/>
  <c r="L31" i="4"/>
  <c r="J32" i="4"/>
  <c r="K32" i="4"/>
  <c r="L32" i="4"/>
  <c r="I15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14" i="4"/>
  <c r="I33" i="4" s="1"/>
  <c r="B8" i="1" s="1"/>
  <c r="K13" i="4"/>
  <c r="L13" i="4"/>
  <c r="J13" i="4"/>
  <c r="I13" i="4"/>
  <c r="T6" i="2"/>
  <c r="S6" i="2"/>
  <c r="R6" i="2"/>
  <c r="Q6" i="2"/>
  <c r="P6" i="2"/>
  <c r="O6" i="2"/>
  <c r="N6" i="2"/>
  <c r="M6" i="2"/>
  <c r="J2" i="2"/>
  <c r="I2" i="2"/>
  <c r="H2" i="2"/>
  <c r="G2" i="2"/>
  <c r="F2" i="2"/>
  <c r="E2" i="2"/>
  <c r="D2" i="2"/>
  <c r="C2" i="2"/>
  <c r="B2" i="2"/>
  <c r="B14" i="1" l="1"/>
  <c r="B12" i="2" s="1"/>
  <c r="B4" i="4"/>
  <c r="B13" i="1"/>
  <c r="B11" i="2" s="1"/>
  <c r="B8" i="4"/>
  <c r="B12" i="1"/>
  <c r="B10" i="2" s="1"/>
  <c r="B9" i="4"/>
  <c r="L33" i="4"/>
  <c r="B11" i="1" s="1"/>
  <c r="B9" i="2" s="1"/>
  <c r="K33" i="4"/>
  <c r="B10" i="1" s="1"/>
  <c r="J33" i="4"/>
  <c r="B9" i="1" s="1"/>
  <c r="B6" i="2"/>
  <c r="B8" i="2"/>
  <c r="M7" i="2"/>
  <c r="N7" i="2"/>
  <c r="O7" i="2"/>
  <c r="P7" i="2"/>
  <c r="Q7" i="2"/>
  <c r="R7" i="2"/>
  <c r="S7" i="2"/>
  <c r="T7" i="2"/>
  <c r="M8" i="2"/>
  <c r="N8" i="2"/>
  <c r="O8" i="2"/>
  <c r="P8" i="2"/>
  <c r="Q8" i="2"/>
  <c r="R8" i="2"/>
  <c r="S8" i="2"/>
  <c r="T8" i="2"/>
  <c r="M9" i="2"/>
  <c r="N9" i="2"/>
  <c r="O9" i="2"/>
  <c r="P9" i="2"/>
  <c r="Q9" i="2"/>
  <c r="R9" i="2"/>
  <c r="S9" i="2"/>
  <c r="T9" i="2"/>
  <c r="M10" i="2"/>
  <c r="V10" i="2" s="1"/>
  <c r="N10" i="2"/>
  <c r="W10" i="2" s="1"/>
  <c r="O10" i="2"/>
  <c r="X10" i="2" s="1"/>
  <c r="P10" i="2"/>
  <c r="Y10" i="2" s="1"/>
  <c r="Q10" i="2"/>
  <c r="Z10" i="2" s="1"/>
  <c r="R10" i="2"/>
  <c r="AA10" i="2" s="1"/>
  <c r="S10" i="2"/>
  <c r="AB10" i="2" s="1"/>
  <c r="T10" i="2"/>
  <c r="AC10" i="2" s="1"/>
  <c r="M11" i="2"/>
  <c r="V11" i="2" s="1"/>
  <c r="N11" i="2"/>
  <c r="W11" i="2" s="1"/>
  <c r="O11" i="2"/>
  <c r="X11" i="2" s="1"/>
  <c r="P11" i="2"/>
  <c r="Y11" i="2" s="1"/>
  <c r="Q11" i="2"/>
  <c r="Z11" i="2" s="1"/>
  <c r="R11" i="2"/>
  <c r="AA11" i="2" s="1"/>
  <c r="S11" i="2"/>
  <c r="AB11" i="2" s="1"/>
  <c r="T11" i="2"/>
  <c r="AC11" i="2" s="1"/>
  <c r="M12" i="2"/>
  <c r="V12" i="2" s="1"/>
  <c r="N12" i="2"/>
  <c r="W12" i="2" s="1"/>
  <c r="O12" i="2"/>
  <c r="X12" i="2" s="1"/>
  <c r="P12" i="2"/>
  <c r="Y12" i="2" s="1"/>
  <c r="Q12" i="2"/>
  <c r="Z12" i="2" s="1"/>
  <c r="R12" i="2"/>
  <c r="AA12" i="2" s="1"/>
  <c r="S12" i="2"/>
  <c r="AB12" i="2" s="1"/>
  <c r="T12" i="2"/>
  <c r="AC12" i="2" s="1"/>
  <c r="L13" i="2"/>
  <c r="U13" i="2" s="1"/>
  <c r="M13" i="2"/>
  <c r="V13" i="2" s="1"/>
  <c r="N13" i="2"/>
  <c r="W13" i="2" s="1"/>
  <c r="O13" i="2"/>
  <c r="X13" i="2" s="1"/>
  <c r="P13" i="2"/>
  <c r="Y13" i="2" s="1"/>
  <c r="Q13" i="2"/>
  <c r="Z13" i="2" s="1"/>
  <c r="R13" i="2"/>
  <c r="AA13" i="2" s="1"/>
  <c r="S13" i="2"/>
  <c r="AB13" i="2" s="1"/>
  <c r="T13" i="2"/>
  <c r="AC13" i="2" s="1"/>
  <c r="L14" i="2"/>
  <c r="U14" i="2" s="1"/>
  <c r="M14" i="2"/>
  <c r="V14" i="2" s="1"/>
  <c r="N14" i="2"/>
  <c r="W14" i="2" s="1"/>
  <c r="O14" i="2"/>
  <c r="X14" i="2" s="1"/>
  <c r="P14" i="2"/>
  <c r="Y14" i="2" s="1"/>
  <c r="Q14" i="2"/>
  <c r="Z14" i="2" s="1"/>
  <c r="R14" i="2"/>
  <c r="AA14" i="2" s="1"/>
  <c r="S14" i="2"/>
  <c r="AB14" i="2" s="1"/>
  <c r="T14" i="2"/>
  <c r="AC14" i="2" s="1"/>
  <c r="L15" i="2"/>
  <c r="U15" i="2" s="1"/>
  <c r="M15" i="2"/>
  <c r="V15" i="2" s="1"/>
  <c r="N15" i="2"/>
  <c r="W15" i="2" s="1"/>
  <c r="O15" i="2"/>
  <c r="X15" i="2" s="1"/>
  <c r="P15" i="2"/>
  <c r="Y15" i="2" s="1"/>
  <c r="Q15" i="2"/>
  <c r="Z15" i="2" s="1"/>
  <c r="R15" i="2"/>
  <c r="AA15" i="2" s="1"/>
  <c r="S15" i="2"/>
  <c r="AB15" i="2" s="1"/>
  <c r="T15" i="2"/>
  <c r="AC15" i="2" s="1"/>
  <c r="L16" i="2"/>
  <c r="U16" i="2" s="1"/>
  <c r="M16" i="2"/>
  <c r="V16" i="2" s="1"/>
  <c r="N16" i="2"/>
  <c r="W16" i="2" s="1"/>
  <c r="O16" i="2"/>
  <c r="X16" i="2" s="1"/>
  <c r="P16" i="2"/>
  <c r="Y16" i="2" s="1"/>
  <c r="Q16" i="2"/>
  <c r="Z16" i="2" s="1"/>
  <c r="R16" i="2"/>
  <c r="AA16" i="2" s="1"/>
  <c r="S16" i="2"/>
  <c r="AB16" i="2" s="1"/>
  <c r="T16" i="2"/>
  <c r="AC16" i="2" s="1"/>
  <c r="L17" i="2"/>
  <c r="U17" i="2" s="1"/>
  <c r="M17" i="2"/>
  <c r="V17" i="2" s="1"/>
  <c r="N17" i="2"/>
  <c r="W17" i="2" s="1"/>
  <c r="O17" i="2"/>
  <c r="X17" i="2" s="1"/>
  <c r="P17" i="2"/>
  <c r="Y17" i="2" s="1"/>
  <c r="Q17" i="2"/>
  <c r="Z17" i="2" s="1"/>
  <c r="R17" i="2"/>
  <c r="AA17" i="2" s="1"/>
  <c r="S17" i="2"/>
  <c r="AB17" i="2" s="1"/>
  <c r="T17" i="2"/>
  <c r="AC17" i="2" s="1"/>
  <c r="L18" i="2"/>
  <c r="U18" i="2" s="1"/>
  <c r="M18" i="2"/>
  <c r="V18" i="2" s="1"/>
  <c r="N18" i="2"/>
  <c r="W18" i="2" s="1"/>
  <c r="O18" i="2"/>
  <c r="X18" i="2" s="1"/>
  <c r="P18" i="2"/>
  <c r="Y18" i="2" s="1"/>
  <c r="Q18" i="2"/>
  <c r="Z18" i="2" s="1"/>
  <c r="R18" i="2"/>
  <c r="AA18" i="2" s="1"/>
  <c r="S18" i="2"/>
  <c r="AB18" i="2" s="1"/>
  <c r="T18" i="2"/>
  <c r="AC18" i="2" s="1"/>
  <c r="L19" i="2"/>
  <c r="U19" i="2" s="1"/>
  <c r="M19" i="2"/>
  <c r="V19" i="2" s="1"/>
  <c r="N19" i="2"/>
  <c r="W19" i="2" s="1"/>
  <c r="O19" i="2"/>
  <c r="X19" i="2" s="1"/>
  <c r="P19" i="2"/>
  <c r="Y19" i="2" s="1"/>
  <c r="Q19" i="2"/>
  <c r="Z19" i="2" s="1"/>
  <c r="R19" i="2"/>
  <c r="AA19" i="2" s="1"/>
  <c r="S19" i="2"/>
  <c r="AB19" i="2" s="1"/>
  <c r="T19" i="2"/>
  <c r="AC19" i="2" s="1"/>
  <c r="L20" i="2"/>
  <c r="U20" i="2" s="1"/>
  <c r="M20" i="2"/>
  <c r="V20" i="2" s="1"/>
  <c r="N20" i="2"/>
  <c r="W20" i="2" s="1"/>
  <c r="O20" i="2"/>
  <c r="X20" i="2" s="1"/>
  <c r="P20" i="2"/>
  <c r="Y20" i="2" s="1"/>
  <c r="Q20" i="2"/>
  <c r="Z20" i="2" s="1"/>
  <c r="R20" i="2"/>
  <c r="AA20" i="2" s="1"/>
  <c r="S20" i="2"/>
  <c r="AB20" i="2" s="1"/>
  <c r="T20" i="2"/>
  <c r="AC20" i="2" s="1"/>
  <c r="L21" i="2"/>
  <c r="U21" i="2" s="1"/>
  <c r="M21" i="2"/>
  <c r="V21" i="2" s="1"/>
  <c r="N21" i="2"/>
  <c r="W21" i="2" s="1"/>
  <c r="O21" i="2"/>
  <c r="X21" i="2" s="1"/>
  <c r="P21" i="2"/>
  <c r="Y21" i="2" s="1"/>
  <c r="Q21" i="2"/>
  <c r="Z21" i="2" s="1"/>
  <c r="R21" i="2"/>
  <c r="AA21" i="2" s="1"/>
  <c r="S21" i="2"/>
  <c r="AB21" i="2" s="1"/>
  <c r="T21" i="2"/>
  <c r="AC21" i="2" s="1"/>
  <c r="L22" i="2"/>
  <c r="U22" i="2" s="1"/>
  <c r="M22" i="2"/>
  <c r="V22" i="2" s="1"/>
  <c r="N22" i="2"/>
  <c r="W22" i="2" s="1"/>
  <c r="O22" i="2"/>
  <c r="X22" i="2" s="1"/>
  <c r="P22" i="2"/>
  <c r="Y22" i="2" s="1"/>
  <c r="Q22" i="2"/>
  <c r="Z22" i="2" s="1"/>
  <c r="R22" i="2"/>
  <c r="AA22" i="2" s="1"/>
  <c r="S22" i="2"/>
  <c r="AB22" i="2" s="1"/>
  <c r="T22" i="2"/>
  <c r="AC22" i="2" s="1"/>
  <c r="L23" i="2"/>
  <c r="U23" i="2" s="1"/>
  <c r="M23" i="2"/>
  <c r="V23" i="2" s="1"/>
  <c r="N23" i="2"/>
  <c r="W23" i="2" s="1"/>
  <c r="O23" i="2"/>
  <c r="X23" i="2" s="1"/>
  <c r="P23" i="2"/>
  <c r="Y23" i="2" s="1"/>
  <c r="Q23" i="2"/>
  <c r="Z23" i="2" s="1"/>
  <c r="R23" i="2"/>
  <c r="AA23" i="2" s="1"/>
  <c r="S23" i="2"/>
  <c r="AB23" i="2" s="1"/>
  <c r="T23" i="2"/>
  <c r="AC23" i="2" s="1"/>
  <c r="L24" i="2"/>
  <c r="U24" i="2" s="1"/>
  <c r="M24" i="2"/>
  <c r="V24" i="2" s="1"/>
  <c r="N24" i="2"/>
  <c r="W24" i="2" s="1"/>
  <c r="O24" i="2"/>
  <c r="X24" i="2" s="1"/>
  <c r="P24" i="2"/>
  <c r="Y24" i="2" s="1"/>
  <c r="Q24" i="2"/>
  <c r="Z24" i="2" s="1"/>
  <c r="R24" i="2"/>
  <c r="AA24" i="2" s="1"/>
  <c r="S24" i="2"/>
  <c r="AB24" i="2" s="1"/>
  <c r="T24" i="2"/>
  <c r="AC24" i="2" s="1"/>
  <c r="L25" i="2"/>
  <c r="U25" i="2" s="1"/>
  <c r="M25" i="2"/>
  <c r="V25" i="2" s="1"/>
  <c r="N25" i="2"/>
  <c r="W25" i="2" s="1"/>
  <c r="O25" i="2"/>
  <c r="X25" i="2" s="1"/>
  <c r="P25" i="2"/>
  <c r="Y25" i="2" s="1"/>
  <c r="Q25" i="2"/>
  <c r="Z25" i="2" s="1"/>
  <c r="R25" i="2"/>
  <c r="AA25" i="2" s="1"/>
  <c r="S25" i="2"/>
  <c r="AB25" i="2" s="1"/>
  <c r="T25" i="2"/>
  <c r="AC25" i="2" s="1"/>
  <c r="L26" i="2"/>
  <c r="U26" i="2" s="1"/>
  <c r="M26" i="2"/>
  <c r="V26" i="2" s="1"/>
  <c r="N26" i="2"/>
  <c r="W26" i="2" s="1"/>
  <c r="O26" i="2"/>
  <c r="X26" i="2" s="1"/>
  <c r="P26" i="2"/>
  <c r="Y26" i="2" s="1"/>
  <c r="Q26" i="2"/>
  <c r="Z26" i="2" s="1"/>
  <c r="R26" i="2"/>
  <c r="AA26" i="2" s="1"/>
  <c r="S26" i="2"/>
  <c r="AB26" i="2" s="1"/>
  <c r="T26" i="2"/>
  <c r="AC26" i="2" s="1"/>
  <c r="L27" i="2"/>
  <c r="U27" i="2" s="1"/>
  <c r="M27" i="2"/>
  <c r="V27" i="2" s="1"/>
  <c r="N27" i="2"/>
  <c r="W27" i="2" s="1"/>
  <c r="O27" i="2"/>
  <c r="X27" i="2" s="1"/>
  <c r="P27" i="2"/>
  <c r="Y27" i="2" s="1"/>
  <c r="Q27" i="2"/>
  <c r="Z27" i="2" s="1"/>
  <c r="R27" i="2"/>
  <c r="AA27" i="2" s="1"/>
  <c r="S27" i="2"/>
  <c r="AB27" i="2" s="1"/>
  <c r="T27" i="2"/>
  <c r="AC27" i="2" s="1"/>
  <c r="L28" i="2"/>
  <c r="U28" i="2" s="1"/>
  <c r="M28" i="2"/>
  <c r="V28" i="2" s="1"/>
  <c r="N28" i="2"/>
  <c r="W28" i="2" s="1"/>
  <c r="O28" i="2"/>
  <c r="X28" i="2" s="1"/>
  <c r="P28" i="2"/>
  <c r="Y28" i="2" s="1"/>
  <c r="Q28" i="2"/>
  <c r="Z28" i="2" s="1"/>
  <c r="R28" i="2"/>
  <c r="AA28" i="2" s="1"/>
  <c r="S28" i="2"/>
  <c r="AB28" i="2" s="1"/>
  <c r="T28" i="2"/>
  <c r="AC28" i="2" s="1"/>
  <c r="L29" i="2"/>
  <c r="U29" i="2" s="1"/>
  <c r="M29" i="2"/>
  <c r="V29" i="2" s="1"/>
  <c r="N29" i="2"/>
  <c r="W29" i="2" s="1"/>
  <c r="O29" i="2"/>
  <c r="X29" i="2" s="1"/>
  <c r="P29" i="2"/>
  <c r="Y29" i="2" s="1"/>
  <c r="Q29" i="2"/>
  <c r="Z29" i="2" s="1"/>
  <c r="R29" i="2"/>
  <c r="AA29" i="2" s="1"/>
  <c r="S29" i="2"/>
  <c r="AB29" i="2" s="1"/>
  <c r="T29" i="2"/>
  <c r="AC29" i="2" s="1"/>
  <c r="L30" i="2"/>
  <c r="U30" i="2" s="1"/>
  <c r="M30" i="2"/>
  <c r="V30" i="2" s="1"/>
  <c r="N30" i="2"/>
  <c r="W30" i="2" s="1"/>
  <c r="O30" i="2"/>
  <c r="X30" i="2" s="1"/>
  <c r="P30" i="2"/>
  <c r="Y30" i="2" s="1"/>
  <c r="Q30" i="2"/>
  <c r="Z30" i="2" s="1"/>
  <c r="R30" i="2"/>
  <c r="AA30" i="2" s="1"/>
  <c r="S30" i="2"/>
  <c r="AB30" i="2" s="1"/>
  <c r="T30" i="2"/>
  <c r="AC30" i="2" s="1"/>
  <c r="L31" i="2"/>
  <c r="U31" i="2" s="1"/>
  <c r="M31" i="2"/>
  <c r="V31" i="2" s="1"/>
  <c r="N31" i="2"/>
  <c r="W31" i="2" s="1"/>
  <c r="O31" i="2"/>
  <c r="X31" i="2" s="1"/>
  <c r="P31" i="2"/>
  <c r="Y31" i="2" s="1"/>
  <c r="Q31" i="2"/>
  <c r="Z31" i="2" s="1"/>
  <c r="R31" i="2"/>
  <c r="AA31" i="2" s="1"/>
  <c r="S31" i="2"/>
  <c r="AB31" i="2" s="1"/>
  <c r="T31" i="2"/>
  <c r="AC31" i="2" s="1"/>
  <c r="L32" i="2"/>
  <c r="U32" i="2" s="1"/>
  <c r="M32" i="2"/>
  <c r="V32" i="2" s="1"/>
  <c r="N32" i="2"/>
  <c r="W32" i="2" s="1"/>
  <c r="O32" i="2"/>
  <c r="X32" i="2" s="1"/>
  <c r="P32" i="2"/>
  <c r="Y32" i="2" s="1"/>
  <c r="Q32" i="2"/>
  <c r="Z32" i="2" s="1"/>
  <c r="R32" i="2"/>
  <c r="AA32" i="2" s="1"/>
  <c r="S32" i="2"/>
  <c r="AB32" i="2" s="1"/>
  <c r="T32" i="2"/>
  <c r="AC32" i="2" s="1"/>
  <c r="L33" i="2"/>
  <c r="U33" i="2" s="1"/>
  <c r="M33" i="2"/>
  <c r="V33" i="2" s="1"/>
  <c r="N33" i="2"/>
  <c r="W33" i="2" s="1"/>
  <c r="O33" i="2"/>
  <c r="X33" i="2" s="1"/>
  <c r="P33" i="2"/>
  <c r="Y33" i="2" s="1"/>
  <c r="Q33" i="2"/>
  <c r="Z33" i="2" s="1"/>
  <c r="R33" i="2"/>
  <c r="AA33" i="2" s="1"/>
  <c r="S33" i="2"/>
  <c r="AB33" i="2" s="1"/>
  <c r="T33" i="2"/>
  <c r="AC33" i="2" s="1"/>
  <c r="L34" i="2"/>
  <c r="U34" i="2" s="1"/>
  <c r="M34" i="2"/>
  <c r="V34" i="2" s="1"/>
  <c r="N34" i="2"/>
  <c r="W34" i="2" s="1"/>
  <c r="O34" i="2"/>
  <c r="X34" i="2" s="1"/>
  <c r="P34" i="2"/>
  <c r="Y34" i="2" s="1"/>
  <c r="Q34" i="2"/>
  <c r="Z34" i="2" s="1"/>
  <c r="R34" i="2"/>
  <c r="AA34" i="2" s="1"/>
  <c r="S34" i="2"/>
  <c r="AB34" i="2" s="1"/>
  <c r="T34" i="2"/>
  <c r="AC34" i="2" s="1"/>
  <c r="L35" i="2"/>
  <c r="U35" i="2" s="1"/>
  <c r="M35" i="2"/>
  <c r="V35" i="2" s="1"/>
  <c r="N35" i="2"/>
  <c r="W35" i="2" s="1"/>
  <c r="O35" i="2"/>
  <c r="X35" i="2" s="1"/>
  <c r="P35" i="2"/>
  <c r="Y35" i="2" s="1"/>
  <c r="Q35" i="2"/>
  <c r="Z35" i="2" s="1"/>
  <c r="R35" i="2"/>
  <c r="AA35" i="2" s="1"/>
  <c r="S35" i="2"/>
  <c r="AB35" i="2" s="1"/>
  <c r="T35" i="2"/>
  <c r="AC35" i="2" s="1"/>
  <c r="L36" i="2"/>
  <c r="U36" i="2" s="1"/>
  <c r="M36" i="2"/>
  <c r="V36" i="2" s="1"/>
  <c r="N36" i="2"/>
  <c r="W36" i="2" s="1"/>
  <c r="O36" i="2"/>
  <c r="X36" i="2" s="1"/>
  <c r="P36" i="2"/>
  <c r="Y36" i="2" s="1"/>
  <c r="Q36" i="2"/>
  <c r="Z36" i="2" s="1"/>
  <c r="R36" i="2"/>
  <c r="AA36" i="2" s="1"/>
  <c r="S36" i="2"/>
  <c r="AB36" i="2" s="1"/>
  <c r="T36" i="2"/>
  <c r="AC36" i="2" s="1"/>
  <c r="L37" i="2"/>
  <c r="U37" i="2" s="1"/>
  <c r="M37" i="2"/>
  <c r="V37" i="2" s="1"/>
  <c r="N37" i="2"/>
  <c r="W37" i="2" s="1"/>
  <c r="O37" i="2"/>
  <c r="X37" i="2" s="1"/>
  <c r="P37" i="2"/>
  <c r="Y37" i="2" s="1"/>
  <c r="Q37" i="2"/>
  <c r="Z37" i="2" s="1"/>
  <c r="R37" i="2"/>
  <c r="AA37" i="2" s="1"/>
  <c r="S37" i="2"/>
  <c r="AB37" i="2" s="1"/>
  <c r="T37" i="2"/>
  <c r="AC37" i="2" s="1"/>
  <c r="L38" i="2"/>
  <c r="U38" i="2" s="1"/>
  <c r="M38" i="2"/>
  <c r="V38" i="2" s="1"/>
  <c r="N38" i="2"/>
  <c r="W38" i="2" s="1"/>
  <c r="O38" i="2"/>
  <c r="X38" i="2" s="1"/>
  <c r="P38" i="2"/>
  <c r="Y38" i="2" s="1"/>
  <c r="Q38" i="2"/>
  <c r="Z38" i="2" s="1"/>
  <c r="R38" i="2"/>
  <c r="AA38" i="2" s="1"/>
  <c r="S38" i="2"/>
  <c r="AB38" i="2" s="1"/>
  <c r="T38" i="2"/>
  <c r="AC38" i="2" s="1"/>
  <c r="L39" i="2"/>
  <c r="U39" i="2" s="1"/>
  <c r="M39" i="2"/>
  <c r="V39" i="2" s="1"/>
  <c r="N39" i="2"/>
  <c r="W39" i="2" s="1"/>
  <c r="O39" i="2"/>
  <c r="X39" i="2" s="1"/>
  <c r="P39" i="2"/>
  <c r="Y39" i="2" s="1"/>
  <c r="Q39" i="2"/>
  <c r="Z39" i="2" s="1"/>
  <c r="R39" i="2"/>
  <c r="AA39" i="2" s="1"/>
  <c r="S39" i="2"/>
  <c r="AB39" i="2" s="1"/>
  <c r="T39" i="2"/>
  <c r="AC39" i="2" s="1"/>
  <c r="L40" i="2"/>
  <c r="U40" i="2" s="1"/>
  <c r="M40" i="2"/>
  <c r="V40" i="2" s="1"/>
  <c r="N40" i="2"/>
  <c r="W40" i="2" s="1"/>
  <c r="O40" i="2"/>
  <c r="X40" i="2" s="1"/>
  <c r="P40" i="2"/>
  <c r="Y40" i="2" s="1"/>
  <c r="Q40" i="2"/>
  <c r="Z40" i="2" s="1"/>
  <c r="R40" i="2"/>
  <c r="AA40" i="2" s="1"/>
  <c r="S40" i="2"/>
  <c r="AB40" i="2" s="1"/>
  <c r="T40" i="2"/>
  <c r="AC40" i="2" s="1"/>
  <c r="L41" i="2"/>
  <c r="U41" i="2" s="1"/>
  <c r="M41" i="2"/>
  <c r="V41" i="2" s="1"/>
  <c r="N41" i="2"/>
  <c r="W41" i="2" s="1"/>
  <c r="O41" i="2"/>
  <c r="X41" i="2" s="1"/>
  <c r="P41" i="2"/>
  <c r="Y41" i="2" s="1"/>
  <c r="Q41" i="2"/>
  <c r="Z41" i="2" s="1"/>
  <c r="R41" i="2"/>
  <c r="AA41" i="2" s="1"/>
  <c r="S41" i="2"/>
  <c r="AB41" i="2" s="1"/>
  <c r="T41" i="2"/>
  <c r="AC41" i="2" s="1"/>
  <c r="L42" i="2"/>
  <c r="U42" i="2" s="1"/>
  <c r="M42" i="2"/>
  <c r="V42" i="2" s="1"/>
  <c r="N42" i="2"/>
  <c r="W42" i="2" s="1"/>
  <c r="O42" i="2"/>
  <c r="X42" i="2" s="1"/>
  <c r="P42" i="2"/>
  <c r="Y42" i="2" s="1"/>
  <c r="Q42" i="2"/>
  <c r="Z42" i="2" s="1"/>
  <c r="R42" i="2"/>
  <c r="AA42" i="2" s="1"/>
  <c r="S42" i="2"/>
  <c r="AB42" i="2" s="1"/>
  <c r="T42" i="2"/>
  <c r="AC42" i="2" s="1"/>
  <c r="L43" i="2"/>
  <c r="U43" i="2" s="1"/>
  <c r="M43" i="2"/>
  <c r="V43" i="2" s="1"/>
  <c r="N43" i="2"/>
  <c r="W43" i="2" s="1"/>
  <c r="O43" i="2"/>
  <c r="X43" i="2" s="1"/>
  <c r="P43" i="2"/>
  <c r="Y43" i="2" s="1"/>
  <c r="Q43" i="2"/>
  <c r="Z43" i="2" s="1"/>
  <c r="R43" i="2"/>
  <c r="AA43" i="2" s="1"/>
  <c r="S43" i="2"/>
  <c r="AB43" i="2" s="1"/>
  <c r="T43" i="2"/>
  <c r="AC43" i="2" s="1"/>
  <c r="L44" i="2"/>
  <c r="U44" i="2" s="1"/>
  <c r="M44" i="2"/>
  <c r="V44" i="2" s="1"/>
  <c r="N44" i="2"/>
  <c r="W44" i="2" s="1"/>
  <c r="O44" i="2"/>
  <c r="X44" i="2" s="1"/>
  <c r="P44" i="2"/>
  <c r="Y44" i="2" s="1"/>
  <c r="Q44" i="2"/>
  <c r="Z44" i="2" s="1"/>
  <c r="R44" i="2"/>
  <c r="AA44" i="2" s="1"/>
  <c r="S44" i="2"/>
  <c r="AB44" i="2" s="1"/>
  <c r="T44" i="2"/>
  <c r="AC44" i="2" s="1"/>
  <c r="L45" i="2"/>
  <c r="U45" i="2" s="1"/>
  <c r="M45" i="2"/>
  <c r="V45" i="2" s="1"/>
  <c r="N45" i="2"/>
  <c r="W45" i="2" s="1"/>
  <c r="O45" i="2"/>
  <c r="X45" i="2" s="1"/>
  <c r="P45" i="2"/>
  <c r="Y45" i="2" s="1"/>
  <c r="Q45" i="2"/>
  <c r="Z45" i="2" s="1"/>
  <c r="R45" i="2"/>
  <c r="AA45" i="2" s="1"/>
  <c r="S45" i="2"/>
  <c r="AB45" i="2" s="1"/>
  <c r="T45" i="2"/>
  <c r="AC45" i="2" s="1"/>
  <c r="L46" i="2"/>
  <c r="U46" i="2" s="1"/>
  <c r="M46" i="2"/>
  <c r="V46" i="2" s="1"/>
  <c r="N46" i="2"/>
  <c r="W46" i="2" s="1"/>
  <c r="O46" i="2"/>
  <c r="X46" i="2" s="1"/>
  <c r="P46" i="2"/>
  <c r="Y46" i="2" s="1"/>
  <c r="Q46" i="2"/>
  <c r="Z46" i="2" s="1"/>
  <c r="R46" i="2"/>
  <c r="AA46" i="2" s="1"/>
  <c r="S46" i="2"/>
  <c r="AB46" i="2" s="1"/>
  <c r="T46" i="2"/>
  <c r="AC46" i="2" s="1"/>
  <c r="L47" i="2"/>
  <c r="U47" i="2" s="1"/>
  <c r="M47" i="2"/>
  <c r="V47" i="2" s="1"/>
  <c r="N47" i="2"/>
  <c r="W47" i="2" s="1"/>
  <c r="O47" i="2"/>
  <c r="X47" i="2" s="1"/>
  <c r="P47" i="2"/>
  <c r="Y47" i="2" s="1"/>
  <c r="Q47" i="2"/>
  <c r="Z47" i="2" s="1"/>
  <c r="R47" i="2"/>
  <c r="AA47" i="2" s="1"/>
  <c r="S47" i="2"/>
  <c r="AB47" i="2" s="1"/>
  <c r="T47" i="2"/>
  <c r="AC47" i="2" s="1"/>
  <c r="L48" i="2"/>
  <c r="U48" i="2" s="1"/>
  <c r="M48" i="2"/>
  <c r="V48" i="2" s="1"/>
  <c r="N48" i="2"/>
  <c r="W48" i="2" s="1"/>
  <c r="O48" i="2"/>
  <c r="X48" i="2" s="1"/>
  <c r="P48" i="2"/>
  <c r="Y48" i="2" s="1"/>
  <c r="Q48" i="2"/>
  <c r="Z48" i="2" s="1"/>
  <c r="R48" i="2"/>
  <c r="AA48" i="2" s="1"/>
  <c r="S48" i="2"/>
  <c r="AB48" i="2" s="1"/>
  <c r="T48" i="2"/>
  <c r="AC48" i="2" s="1"/>
  <c r="L49" i="2"/>
  <c r="U49" i="2" s="1"/>
  <c r="M49" i="2"/>
  <c r="V49" i="2" s="1"/>
  <c r="N49" i="2"/>
  <c r="W49" i="2" s="1"/>
  <c r="O49" i="2"/>
  <c r="X49" i="2" s="1"/>
  <c r="P49" i="2"/>
  <c r="Y49" i="2" s="1"/>
  <c r="Q49" i="2"/>
  <c r="Z49" i="2" s="1"/>
  <c r="R49" i="2"/>
  <c r="AA49" i="2" s="1"/>
  <c r="S49" i="2"/>
  <c r="AB49" i="2" s="1"/>
  <c r="T49" i="2"/>
  <c r="AC49" i="2" s="1"/>
  <c r="L50" i="2"/>
  <c r="U50" i="2" s="1"/>
  <c r="M50" i="2"/>
  <c r="V50" i="2" s="1"/>
  <c r="N50" i="2"/>
  <c r="W50" i="2" s="1"/>
  <c r="O50" i="2"/>
  <c r="X50" i="2" s="1"/>
  <c r="P50" i="2"/>
  <c r="Y50" i="2" s="1"/>
  <c r="Q50" i="2"/>
  <c r="Z50" i="2" s="1"/>
  <c r="R50" i="2"/>
  <c r="AA50" i="2" s="1"/>
  <c r="S50" i="2"/>
  <c r="AB50" i="2" s="1"/>
  <c r="T50" i="2"/>
  <c r="AC50" i="2" s="1"/>
  <c r="L51" i="2"/>
  <c r="U51" i="2" s="1"/>
  <c r="M51" i="2"/>
  <c r="V51" i="2" s="1"/>
  <c r="N51" i="2"/>
  <c r="W51" i="2" s="1"/>
  <c r="O51" i="2"/>
  <c r="X51" i="2" s="1"/>
  <c r="P51" i="2"/>
  <c r="Y51" i="2" s="1"/>
  <c r="Q51" i="2"/>
  <c r="Z51" i="2" s="1"/>
  <c r="R51" i="2"/>
  <c r="AA51" i="2" s="1"/>
  <c r="S51" i="2"/>
  <c r="AB51" i="2" s="1"/>
  <c r="T51" i="2"/>
  <c r="AC51" i="2" s="1"/>
  <c r="L52" i="2"/>
  <c r="U52" i="2" s="1"/>
  <c r="M52" i="2"/>
  <c r="V52" i="2" s="1"/>
  <c r="N52" i="2"/>
  <c r="W52" i="2" s="1"/>
  <c r="O52" i="2"/>
  <c r="X52" i="2" s="1"/>
  <c r="P52" i="2"/>
  <c r="Y52" i="2" s="1"/>
  <c r="Q52" i="2"/>
  <c r="Z52" i="2" s="1"/>
  <c r="R52" i="2"/>
  <c r="AA52" i="2" s="1"/>
  <c r="S52" i="2"/>
  <c r="AB52" i="2" s="1"/>
  <c r="T52" i="2"/>
  <c r="AC52" i="2" s="1"/>
  <c r="L53" i="2"/>
  <c r="U53" i="2" s="1"/>
  <c r="M53" i="2"/>
  <c r="V53" i="2" s="1"/>
  <c r="N53" i="2"/>
  <c r="W53" i="2" s="1"/>
  <c r="O53" i="2"/>
  <c r="X53" i="2" s="1"/>
  <c r="P53" i="2"/>
  <c r="Y53" i="2" s="1"/>
  <c r="Q53" i="2"/>
  <c r="Z53" i="2" s="1"/>
  <c r="R53" i="2"/>
  <c r="AA53" i="2" s="1"/>
  <c r="S53" i="2"/>
  <c r="AB53" i="2" s="1"/>
  <c r="T53" i="2"/>
  <c r="AC53" i="2" s="1"/>
  <c r="L54" i="2"/>
  <c r="U54" i="2" s="1"/>
  <c r="M54" i="2"/>
  <c r="V54" i="2" s="1"/>
  <c r="N54" i="2"/>
  <c r="W54" i="2" s="1"/>
  <c r="O54" i="2"/>
  <c r="X54" i="2" s="1"/>
  <c r="P54" i="2"/>
  <c r="Y54" i="2" s="1"/>
  <c r="Q54" i="2"/>
  <c r="Z54" i="2" s="1"/>
  <c r="R54" i="2"/>
  <c r="AA54" i="2" s="1"/>
  <c r="S54" i="2"/>
  <c r="AB54" i="2" s="1"/>
  <c r="T54" i="2"/>
  <c r="AC54" i="2" s="1"/>
  <c r="L55" i="2"/>
  <c r="U55" i="2" s="1"/>
  <c r="M55" i="2"/>
  <c r="V55" i="2" s="1"/>
  <c r="N55" i="2"/>
  <c r="W55" i="2" s="1"/>
  <c r="O55" i="2"/>
  <c r="X55" i="2" s="1"/>
  <c r="P55" i="2"/>
  <c r="Y55" i="2" s="1"/>
  <c r="Q55" i="2"/>
  <c r="Z55" i="2" s="1"/>
  <c r="R55" i="2"/>
  <c r="AA55" i="2" s="1"/>
  <c r="S55" i="2"/>
  <c r="AB55" i="2" s="1"/>
  <c r="T55" i="2"/>
  <c r="AC55" i="2" s="1"/>
  <c r="L56" i="2"/>
  <c r="U56" i="2" s="1"/>
  <c r="M56" i="2"/>
  <c r="V56" i="2" s="1"/>
  <c r="N56" i="2"/>
  <c r="W56" i="2" s="1"/>
  <c r="O56" i="2"/>
  <c r="X56" i="2" s="1"/>
  <c r="P56" i="2"/>
  <c r="Y56" i="2" s="1"/>
  <c r="Q56" i="2"/>
  <c r="Z56" i="2" s="1"/>
  <c r="R56" i="2"/>
  <c r="AA56" i="2" s="1"/>
  <c r="S56" i="2"/>
  <c r="AB56" i="2" s="1"/>
  <c r="T56" i="2"/>
  <c r="AC56" i="2" s="1"/>
  <c r="L57" i="2"/>
  <c r="U57" i="2" s="1"/>
  <c r="M57" i="2"/>
  <c r="V57" i="2" s="1"/>
  <c r="N57" i="2"/>
  <c r="W57" i="2" s="1"/>
  <c r="O57" i="2"/>
  <c r="X57" i="2" s="1"/>
  <c r="P57" i="2"/>
  <c r="Y57" i="2" s="1"/>
  <c r="Q57" i="2"/>
  <c r="Z57" i="2" s="1"/>
  <c r="R57" i="2"/>
  <c r="AA57" i="2" s="1"/>
  <c r="S57" i="2"/>
  <c r="AB57" i="2" s="1"/>
  <c r="T57" i="2"/>
  <c r="AC57" i="2" s="1"/>
  <c r="L58" i="2"/>
  <c r="U58" i="2" s="1"/>
  <c r="M58" i="2"/>
  <c r="V58" i="2" s="1"/>
  <c r="N58" i="2"/>
  <c r="W58" i="2" s="1"/>
  <c r="O58" i="2"/>
  <c r="X58" i="2" s="1"/>
  <c r="P58" i="2"/>
  <c r="Y58" i="2" s="1"/>
  <c r="Q58" i="2"/>
  <c r="Z58" i="2" s="1"/>
  <c r="R58" i="2"/>
  <c r="AA58" i="2" s="1"/>
  <c r="S58" i="2"/>
  <c r="AB58" i="2" s="1"/>
  <c r="T58" i="2"/>
  <c r="AC58" i="2" s="1"/>
  <c r="L59" i="2"/>
  <c r="U59" i="2" s="1"/>
  <c r="M59" i="2"/>
  <c r="V59" i="2" s="1"/>
  <c r="N59" i="2"/>
  <c r="W59" i="2" s="1"/>
  <c r="O59" i="2"/>
  <c r="X59" i="2" s="1"/>
  <c r="P59" i="2"/>
  <c r="Y59" i="2" s="1"/>
  <c r="Q59" i="2"/>
  <c r="Z59" i="2" s="1"/>
  <c r="R59" i="2"/>
  <c r="AA59" i="2" s="1"/>
  <c r="S59" i="2"/>
  <c r="AB59" i="2" s="1"/>
  <c r="T59" i="2"/>
  <c r="AC59" i="2" s="1"/>
  <c r="L60" i="2"/>
  <c r="U60" i="2" s="1"/>
  <c r="M60" i="2"/>
  <c r="V60" i="2" s="1"/>
  <c r="N60" i="2"/>
  <c r="W60" i="2" s="1"/>
  <c r="O60" i="2"/>
  <c r="X60" i="2" s="1"/>
  <c r="P60" i="2"/>
  <c r="Y60" i="2" s="1"/>
  <c r="Q60" i="2"/>
  <c r="Z60" i="2" s="1"/>
  <c r="R60" i="2"/>
  <c r="AA60" i="2" s="1"/>
  <c r="S60" i="2"/>
  <c r="AB60" i="2" s="1"/>
  <c r="T60" i="2"/>
  <c r="AC60" i="2" s="1"/>
  <c r="L61" i="2"/>
  <c r="U61" i="2" s="1"/>
  <c r="M61" i="2"/>
  <c r="V61" i="2" s="1"/>
  <c r="N61" i="2"/>
  <c r="W61" i="2" s="1"/>
  <c r="O61" i="2"/>
  <c r="X61" i="2" s="1"/>
  <c r="P61" i="2"/>
  <c r="Y61" i="2" s="1"/>
  <c r="Q61" i="2"/>
  <c r="Z61" i="2" s="1"/>
  <c r="R61" i="2"/>
  <c r="AA61" i="2" s="1"/>
  <c r="S61" i="2"/>
  <c r="AB61" i="2" s="1"/>
  <c r="T61" i="2"/>
  <c r="AC61" i="2" s="1"/>
  <c r="L62" i="2"/>
  <c r="U62" i="2" s="1"/>
  <c r="M62" i="2"/>
  <c r="V62" i="2" s="1"/>
  <c r="N62" i="2"/>
  <c r="W62" i="2" s="1"/>
  <c r="O62" i="2"/>
  <c r="X62" i="2" s="1"/>
  <c r="P62" i="2"/>
  <c r="Y62" i="2" s="1"/>
  <c r="Q62" i="2"/>
  <c r="Z62" i="2" s="1"/>
  <c r="R62" i="2"/>
  <c r="AA62" i="2" s="1"/>
  <c r="S62" i="2"/>
  <c r="AB62" i="2" s="1"/>
  <c r="T62" i="2"/>
  <c r="AC62" i="2" s="1"/>
  <c r="L63" i="2"/>
  <c r="U63" i="2" s="1"/>
  <c r="M63" i="2"/>
  <c r="V63" i="2" s="1"/>
  <c r="N63" i="2"/>
  <c r="W63" i="2" s="1"/>
  <c r="O63" i="2"/>
  <c r="X63" i="2" s="1"/>
  <c r="P63" i="2"/>
  <c r="Y63" i="2" s="1"/>
  <c r="Q63" i="2"/>
  <c r="Z63" i="2" s="1"/>
  <c r="R63" i="2"/>
  <c r="AA63" i="2" s="1"/>
  <c r="S63" i="2"/>
  <c r="AB63" i="2" s="1"/>
  <c r="T63" i="2"/>
  <c r="AC63" i="2" s="1"/>
  <c r="L64" i="2"/>
  <c r="U64" i="2" s="1"/>
  <c r="M64" i="2"/>
  <c r="V64" i="2" s="1"/>
  <c r="N64" i="2"/>
  <c r="W64" i="2" s="1"/>
  <c r="O64" i="2"/>
  <c r="X64" i="2" s="1"/>
  <c r="P64" i="2"/>
  <c r="Y64" i="2" s="1"/>
  <c r="Q64" i="2"/>
  <c r="Z64" i="2" s="1"/>
  <c r="R64" i="2"/>
  <c r="AA64" i="2" s="1"/>
  <c r="S64" i="2"/>
  <c r="AB64" i="2" s="1"/>
  <c r="T64" i="2"/>
  <c r="AC64" i="2" s="1"/>
  <c r="L65" i="2"/>
  <c r="U65" i="2" s="1"/>
  <c r="M65" i="2"/>
  <c r="V65" i="2" s="1"/>
  <c r="N65" i="2"/>
  <c r="W65" i="2" s="1"/>
  <c r="O65" i="2"/>
  <c r="X65" i="2" s="1"/>
  <c r="P65" i="2"/>
  <c r="Y65" i="2" s="1"/>
  <c r="Q65" i="2"/>
  <c r="Z65" i="2" s="1"/>
  <c r="R65" i="2"/>
  <c r="AA65" i="2" s="1"/>
  <c r="S65" i="2"/>
  <c r="AB65" i="2" s="1"/>
  <c r="T65" i="2"/>
  <c r="AC65" i="2" s="1"/>
  <c r="L66" i="2"/>
  <c r="U66" i="2" s="1"/>
  <c r="M66" i="2"/>
  <c r="V66" i="2" s="1"/>
  <c r="N66" i="2"/>
  <c r="W66" i="2" s="1"/>
  <c r="O66" i="2"/>
  <c r="X66" i="2" s="1"/>
  <c r="P66" i="2"/>
  <c r="Y66" i="2" s="1"/>
  <c r="Q66" i="2"/>
  <c r="Z66" i="2" s="1"/>
  <c r="R66" i="2"/>
  <c r="AA66" i="2" s="1"/>
  <c r="S66" i="2"/>
  <c r="AB66" i="2" s="1"/>
  <c r="T66" i="2"/>
  <c r="AC66" i="2" s="1"/>
  <c r="L67" i="2"/>
  <c r="U67" i="2" s="1"/>
  <c r="M67" i="2"/>
  <c r="V67" i="2" s="1"/>
  <c r="N67" i="2"/>
  <c r="W67" i="2" s="1"/>
  <c r="O67" i="2"/>
  <c r="X67" i="2" s="1"/>
  <c r="P67" i="2"/>
  <c r="Y67" i="2" s="1"/>
  <c r="Q67" i="2"/>
  <c r="Z67" i="2" s="1"/>
  <c r="R67" i="2"/>
  <c r="AA67" i="2" s="1"/>
  <c r="S67" i="2"/>
  <c r="AB67" i="2" s="1"/>
  <c r="T67" i="2"/>
  <c r="AC67" i="2" s="1"/>
  <c r="L68" i="2"/>
  <c r="U68" i="2" s="1"/>
  <c r="M68" i="2"/>
  <c r="V68" i="2" s="1"/>
  <c r="N68" i="2"/>
  <c r="W68" i="2" s="1"/>
  <c r="O68" i="2"/>
  <c r="X68" i="2" s="1"/>
  <c r="P68" i="2"/>
  <c r="Y68" i="2" s="1"/>
  <c r="Q68" i="2"/>
  <c r="Z68" i="2" s="1"/>
  <c r="R68" i="2"/>
  <c r="AA68" i="2" s="1"/>
  <c r="S68" i="2"/>
  <c r="AB68" i="2" s="1"/>
  <c r="T68" i="2"/>
  <c r="AC68" i="2" s="1"/>
  <c r="L69" i="2"/>
  <c r="U69" i="2" s="1"/>
  <c r="M69" i="2"/>
  <c r="V69" i="2" s="1"/>
  <c r="N69" i="2"/>
  <c r="W69" i="2" s="1"/>
  <c r="O69" i="2"/>
  <c r="X69" i="2" s="1"/>
  <c r="P69" i="2"/>
  <c r="Y69" i="2" s="1"/>
  <c r="Q69" i="2"/>
  <c r="Z69" i="2" s="1"/>
  <c r="R69" i="2"/>
  <c r="AA69" i="2" s="1"/>
  <c r="S69" i="2"/>
  <c r="AB69" i="2" s="1"/>
  <c r="T69" i="2"/>
  <c r="AC69" i="2" s="1"/>
  <c r="L70" i="2"/>
  <c r="U70" i="2" s="1"/>
  <c r="M70" i="2"/>
  <c r="V70" i="2" s="1"/>
  <c r="N70" i="2"/>
  <c r="W70" i="2" s="1"/>
  <c r="O70" i="2"/>
  <c r="X70" i="2" s="1"/>
  <c r="P70" i="2"/>
  <c r="Y70" i="2" s="1"/>
  <c r="Q70" i="2"/>
  <c r="Z70" i="2" s="1"/>
  <c r="R70" i="2"/>
  <c r="AA70" i="2" s="1"/>
  <c r="S70" i="2"/>
  <c r="AB70" i="2" s="1"/>
  <c r="T70" i="2"/>
  <c r="AC70" i="2" s="1"/>
  <c r="L71" i="2"/>
  <c r="U71" i="2" s="1"/>
  <c r="M71" i="2"/>
  <c r="V71" i="2" s="1"/>
  <c r="N71" i="2"/>
  <c r="W71" i="2" s="1"/>
  <c r="O71" i="2"/>
  <c r="X71" i="2" s="1"/>
  <c r="P71" i="2"/>
  <c r="Y71" i="2" s="1"/>
  <c r="Q71" i="2"/>
  <c r="Z71" i="2" s="1"/>
  <c r="R71" i="2"/>
  <c r="AA71" i="2" s="1"/>
  <c r="S71" i="2"/>
  <c r="AB71" i="2" s="1"/>
  <c r="T71" i="2"/>
  <c r="AC71" i="2" s="1"/>
  <c r="L72" i="2"/>
  <c r="U72" i="2" s="1"/>
  <c r="M72" i="2"/>
  <c r="V72" i="2" s="1"/>
  <c r="N72" i="2"/>
  <c r="W72" i="2" s="1"/>
  <c r="O72" i="2"/>
  <c r="X72" i="2" s="1"/>
  <c r="P72" i="2"/>
  <c r="Y72" i="2" s="1"/>
  <c r="Q72" i="2"/>
  <c r="Z72" i="2" s="1"/>
  <c r="R72" i="2"/>
  <c r="AA72" i="2" s="1"/>
  <c r="S72" i="2"/>
  <c r="AB72" i="2" s="1"/>
  <c r="T72" i="2"/>
  <c r="AC72" i="2" s="1"/>
  <c r="L73" i="2"/>
  <c r="U73" i="2" s="1"/>
  <c r="M73" i="2"/>
  <c r="V73" i="2" s="1"/>
  <c r="N73" i="2"/>
  <c r="W73" i="2" s="1"/>
  <c r="O73" i="2"/>
  <c r="X73" i="2" s="1"/>
  <c r="P73" i="2"/>
  <c r="Y73" i="2" s="1"/>
  <c r="Q73" i="2"/>
  <c r="Z73" i="2" s="1"/>
  <c r="R73" i="2"/>
  <c r="AA73" i="2" s="1"/>
  <c r="S73" i="2"/>
  <c r="AB73" i="2" s="1"/>
  <c r="T73" i="2"/>
  <c r="AC73" i="2" s="1"/>
  <c r="L74" i="2"/>
  <c r="U74" i="2" s="1"/>
  <c r="M74" i="2"/>
  <c r="V74" i="2" s="1"/>
  <c r="N74" i="2"/>
  <c r="W74" i="2" s="1"/>
  <c r="O74" i="2"/>
  <c r="X74" i="2" s="1"/>
  <c r="P74" i="2"/>
  <c r="Y74" i="2" s="1"/>
  <c r="Q74" i="2"/>
  <c r="Z74" i="2" s="1"/>
  <c r="R74" i="2"/>
  <c r="AA74" i="2" s="1"/>
  <c r="S74" i="2"/>
  <c r="AB74" i="2" s="1"/>
  <c r="T74" i="2"/>
  <c r="AC74" i="2" s="1"/>
  <c r="L75" i="2"/>
  <c r="U75" i="2" s="1"/>
  <c r="M75" i="2"/>
  <c r="V75" i="2" s="1"/>
  <c r="N75" i="2"/>
  <c r="W75" i="2" s="1"/>
  <c r="O75" i="2"/>
  <c r="X75" i="2" s="1"/>
  <c r="P75" i="2"/>
  <c r="Y75" i="2" s="1"/>
  <c r="Q75" i="2"/>
  <c r="Z75" i="2" s="1"/>
  <c r="R75" i="2"/>
  <c r="AA75" i="2" s="1"/>
  <c r="S75" i="2"/>
  <c r="AB75" i="2" s="1"/>
  <c r="T75" i="2"/>
  <c r="AC75" i="2" s="1"/>
  <c r="L76" i="2"/>
  <c r="U76" i="2" s="1"/>
  <c r="M76" i="2"/>
  <c r="V76" i="2" s="1"/>
  <c r="N76" i="2"/>
  <c r="W76" i="2" s="1"/>
  <c r="O76" i="2"/>
  <c r="X76" i="2" s="1"/>
  <c r="P76" i="2"/>
  <c r="Y76" i="2" s="1"/>
  <c r="Q76" i="2"/>
  <c r="Z76" i="2" s="1"/>
  <c r="R76" i="2"/>
  <c r="AA76" i="2" s="1"/>
  <c r="S76" i="2"/>
  <c r="AB76" i="2" s="1"/>
  <c r="T76" i="2"/>
  <c r="AC76" i="2" s="1"/>
  <c r="L77" i="2"/>
  <c r="U77" i="2" s="1"/>
  <c r="M77" i="2"/>
  <c r="V77" i="2" s="1"/>
  <c r="N77" i="2"/>
  <c r="W77" i="2" s="1"/>
  <c r="O77" i="2"/>
  <c r="X77" i="2" s="1"/>
  <c r="P77" i="2"/>
  <c r="Y77" i="2" s="1"/>
  <c r="Q77" i="2"/>
  <c r="Z77" i="2" s="1"/>
  <c r="R77" i="2"/>
  <c r="AA77" i="2" s="1"/>
  <c r="S77" i="2"/>
  <c r="AB77" i="2" s="1"/>
  <c r="T77" i="2"/>
  <c r="AC77" i="2" s="1"/>
  <c r="L78" i="2"/>
  <c r="U78" i="2" s="1"/>
  <c r="M78" i="2"/>
  <c r="V78" i="2" s="1"/>
  <c r="N78" i="2"/>
  <c r="W78" i="2" s="1"/>
  <c r="O78" i="2"/>
  <c r="X78" i="2" s="1"/>
  <c r="P78" i="2"/>
  <c r="Y78" i="2" s="1"/>
  <c r="Q78" i="2"/>
  <c r="Z78" i="2" s="1"/>
  <c r="R78" i="2"/>
  <c r="AA78" i="2" s="1"/>
  <c r="S78" i="2"/>
  <c r="AB78" i="2" s="1"/>
  <c r="T78" i="2"/>
  <c r="AC78" i="2" s="1"/>
  <c r="L79" i="2"/>
  <c r="U79" i="2" s="1"/>
  <c r="M79" i="2"/>
  <c r="V79" i="2" s="1"/>
  <c r="N79" i="2"/>
  <c r="W79" i="2" s="1"/>
  <c r="O79" i="2"/>
  <c r="X79" i="2" s="1"/>
  <c r="P79" i="2"/>
  <c r="Y79" i="2" s="1"/>
  <c r="Q79" i="2"/>
  <c r="Z79" i="2" s="1"/>
  <c r="R79" i="2"/>
  <c r="AA79" i="2" s="1"/>
  <c r="S79" i="2"/>
  <c r="AB79" i="2" s="1"/>
  <c r="T79" i="2"/>
  <c r="AC79" i="2" s="1"/>
  <c r="L80" i="2"/>
  <c r="U80" i="2" s="1"/>
  <c r="M80" i="2"/>
  <c r="V80" i="2" s="1"/>
  <c r="N80" i="2"/>
  <c r="W80" i="2" s="1"/>
  <c r="O80" i="2"/>
  <c r="X80" i="2" s="1"/>
  <c r="P80" i="2"/>
  <c r="Y80" i="2" s="1"/>
  <c r="Q80" i="2"/>
  <c r="Z80" i="2" s="1"/>
  <c r="R80" i="2"/>
  <c r="AA80" i="2" s="1"/>
  <c r="S80" i="2"/>
  <c r="AB80" i="2" s="1"/>
  <c r="T80" i="2"/>
  <c r="AC80" i="2" s="1"/>
  <c r="L81" i="2"/>
  <c r="U81" i="2" s="1"/>
  <c r="M81" i="2"/>
  <c r="V81" i="2" s="1"/>
  <c r="N81" i="2"/>
  <c r="W81" i="2" s="1"/>
  <c r="O81" i="2"/>
  <c r="X81" i="2" s="1"/>
  <c r="P81" i="2"/>
  <c r="Y81" i="2" s="1"/>
  <c r="Q81" i="2"/>
  <c r="Z81" i="2" s="1"/>
  <c r="R81" i="2"/>
  <c r="AA81" i="2" s="1"/>
  <c r="S81" i="2"/>
  <c r="AB81" i="2" s="1"/>
  <c r="T81" i="2"/>
  <c r="AC81" i="2" s="1"/>
  <c r="L82" i="2"/>
  <c r="U82" i="2" s="1"/>
  <c r="M82" i="2"/>
  <c r="V82" i="2" s="1"/>
  <c r="N82" i="2"/>
  <c r="W82" i="2" s="1"/>
  <c r="O82" i="2"/>
  <c r="X82" i="2" s="1"/>
  <c r="P82" i="2"/>
  <c r="Y82" i="2" s="1"/>
  <c r="Q82" i="2"/>
  <c r="Z82" i="2" s="1"/>
  <c r="R82" i="2"/>
  <c r="AA82" i="2" s="1"/>
  <c r="S82" i="2"/>
  <c r="AB82" i="2" s="1"/>
  <c r="T82" i="2"/>
  <c r="AC82" i="2" s="1"/>
  <c r="L83" i="2"/>
  <c r="U83" i="2" s="1"/>
  <c r="M83" i="2"/>
  <c r="V83" i="2" s="1"/>
  <c r="N83" i="2"/>
  <c r="W83" i="2" s="1"/>
  <c r="O83" i="2"/>
  <c r="X83" i="2" s="1"/>
  <c r="P83" i="2"/>
  <c r="Y83" i="2" s="1"/>
  <c r="Q83" i="2"/>
  <c r="Z83" i="2" s="1"/>
  <c r="R83" i="2"/>
  <c r="AA83" i="2" s="1"/>
  <c r="S83" i="2"/>
  <c r="AB83" i="2" s="1"/>
  <c r="T83" i="2"/>
  <c r="AC83" i="2" s="1"/>
  <c r="L84" i="2"/>
  <c r="U84" i="2" s="1"/>
  <c r="M84" i="2"/>
  <c r="V84" i="2" s="1"/>
  <c r="N84" i="2"/>
  <c r="W84" i="2" s="1"/>
  <c r="O84" i="2"/>
  <c r="X84" i="2" s="1"/>
  <c r="P84" i="2"/>
  <c r="Y84" i="2" s="1"/>
  <c r="Q84" i="2"/>
  <c r="Z84" i="2" s="1"/>
  <c r="R84" i="2"/>
  <c r="AA84" i="2" s="1"/>
  <c r="S84" i="2"/>
  <c r="AB84" i="2" s="1"/>
  <c r="T84" i="2"/>
  <c r="AC84" i="2" s="1"/>
  <c r="L85" i="2"/>
  <c r="U85" i="2" s="1"/>
  <c r="M85" i="2"/>
  <c r="V85" i="2" s="1"/>
  <c r="N85" i="2"/>
  <c r="W85" i="2" s="1"/>
  <c r="O85" i="2"/>
  <c r="X85" i="2" s="1"/>
  <c r="P85" i="2"/>
  <c r="Y85" i="2" s="1"/>
  <c r="Q85" i="2"/>
  <c r="Z85" i="2" s="1"/>
  <c r="R85" i="2"/>
  <c r="AA85" i="2" s="1"/>
  <c r="S85" i="2"/>
  <c r="AB85" i="2" s="1"/>
  <c r="T85" i="2"/>
  <c r="AC85" i="2" s="1"/>
  <c r="L86" i="2"/>
  <c r="U86" i="2" s="1"/>
  <c r="M86" i="2"/>
  <c r="V86" i="2" s="1"/>
  <c r="N86" i="2"/>
  <c r="W86" i="2" s="1"/>
  <c r="O86" i="2"/>
  <c r="X86" i="2" s="1"/>
  <c r="P86" i="2"/>
  <c r="Y86" i="2" s="1"/>
  <c r="Q86" i="2"/>
  <c r="Z86" i="2" s="1"/>
  <c r="R86" i="2"/>
  <c r="AA86" i="2" s="1"/>
  <c r="S86" i="2"/>
  <c r="AB86" i="2" s="1"/>
  <c r="T86" i="2"/>
  <c r="AC86" i="2" s="1"/>
  <c r="L87" i="2"/>
  <c r="U87" i="2" s="1"/>
  <c r="M87" i="2"/>
  <c r="V87" i="2" s="1"/>
  <c r="N87" i="2"/>
  <c r="W87" i="2" s="1"/>
  <c r="O87" i="2"/>
  <c r="X87" i="2" s="1"/>
  <c r="P87" i="2"/>
  <c r="Y87" i="2" s="1"/>
  <c r="Q87" i="2"/>
  <c r="Z87" i="2" s="1"/>
  <c r="R87" i="2"/>
  <c r="AA87" i="2" s="1"/>
  <c r="S87" i="2"/>
  <c r="AB87" i="2" s="1"/>
  <c r="T87" i="2"/>
  <c r="AC87" i="2" s="1"/>
  <c r="L88" i="2"/>
  <c r="U88" i="2" s="1"/>
  <c r="M88" i="2"/>
  <c r="V88" i="2" s="1"/>
  <c r="N88" i="2"/>
  <c r="W88" i="2" s="1"/>
  <c r="O88" i="2"/>
  <c r="X88" i="2" s="1"/>
  <c r="P88" i="2"/>
  <c r="Y88" i="2" s="1"/>
  <c r="Q88" i="2"/>
  <c r="Z88" i="2" s="1"/>
  <c r="R88" i="2"/>
  <c r="AA88" i="2" s="1"/>
  <c r="S88" i="2"/>
  <c r="AB88" i="2" s="1"/>
  <c r="T88" i="2"/>
  <c r="AC88" i="2" s="1"/>
  <c r="L89" i="2"/>
  <c r="U89" i="2" s="1"/>
  <c r="M89" i="2"/>
  <c r="V89" i="2" s="1"/>
  <c r="N89" i="2"/>
  <c r="W89" i="2" s="1"/>
  <c r="O89" i="2"/>
  <c r="X89" i="2" s="1"/>
  <c r="P89" i="2"/>
  <c r="Y89" i="2" s="1"/>
  <c r="Q89" i="2"/>
  <c r="Z89" i="2" s="1"/>
  <c r="R89" i="2"/>
  <c r="AA89" i="2" s="1"/>
  <c r="S89" i="2"/>
  <c r="AB89" i="2" s="1"/>
  <c r="T89" i="2"/>
  <c r="AC89" i="2" s="1"/>
  <c r="L90" i="2"/>
  <c r="U90" i="2" s="1"/>
  <c r="M90" i="2"/>
  <c r="V90" i="2" s="1"/>
  <c r="N90" i="2"/>
  <c r="W90" i="2" s="1"/>
  <c r="O90" i="2"/>
  <c r="X90" i="2" s="1"/>
  <c r="P90" i="2"/>
  <c r="Y90" i="2" s="1"/>
  <c r="Q90" i="2"/>
  <c r="Z90" i="2" s="1"/>
  <c r="R90" i="2"/>
  <c r="AA90" i="2" s="1"/>
  <c r="S90" i="2"/>
  <c r="AB90" i="2" s="1"/>
  <c r="T90" i="2"/>
  <c r="AC90" i="2" s="1"/>
  <c r="L91" i="2"/>
  <c r="U91" i="2" s="1"/>
  <c r="M91" i="2"/>
  <c r="V91" i="2" s="1"/>
  <c r="N91" i="2"/>
  <c r="W91" i="2" s="1"/>
  <c r="O91" i="2"/>
  <c r="X91" i="2" s="1"/>
  <c r="P91" i="2"/>
  <c r="Y91" i="2" s="1"/>
  <c r="Q91" i="2"/>
  <c r="Z91" i="2" s="1"/>
  <c r="R91" i="2"/>
  <c r="AA91" i="2" s="1"/>
  <c r="S91" i="2"/>
  <c r="AB91" i="2" s="1"/>
  <c r="T91" i="2"/>
  <c r="AC91" i="2" s="1"/>
  <c r="L92" i="2"/>
  <c r="U92" i="2" s="1"/>
  <c r="M92" i="2"/>
  <c r="V92" i="2" s="1"/>
  <c r="N92" i="2"/>
  <c r="W92" i="2" s="1"/>
  <c r="O92" i="2"/>
  <c r="X92" i="2" s="1"/>
  <c r="P92" i="2"/>
  <c r="Y92" i="2" s="1"/>
  <c r="Q92" i="2"/>
  <c r="Z92" i="2" s="1"/>
  <c r="R92" i="2"/>
  <c r="AA92" i="2" s="1"/>
  <c r="S92" i="2"/>
  <c r="AB92" i="2" s="1"/>
  <c r="T92" i="2"/>
  <c r="AC92" i="2" s="1"/>
  <c r="L93" i="2"/>
  <c r="U93" i="2" s="1"/>
  <c r="M93" i="2"/>
  <c r="V93" i="2" s="1"/>
  <c r="N93" i="2"/>
  <c r="W93" i="2" s="1"/>
  <c r="O93" i="2"/>
  <c r="X93" i="2" s="1"/>
  <c r="P93" i="2"/>
  <c r="Y93" i="2" s="1"/>
  <c r="Q93" i="2"/>
  <c r="Z93" i="2" s="1"/>
  <c r="R93" i="2"/>
  <c r="AA93" i="2" s="1"/>
  <c r="S93" i="2"/>
  <c r="AB93" i="2" s="1"/>
  <c r="T93" i="2"/>
  <c r="AC93" i="2" s="1"/>
  <c r="L94" i="2"/>
  <c r="U94" i="2" s="1"/>
  <c r="M94" i="2"/>
  <c r="V94" i="2" s="1"/>
  <c r="N94" i="2"/>
  <c r="W94" i="2" s="1"/>
  <c r="O94" i="2"/>
  <c r="X94" i="2" s="1"/>
  <c r="P94" i="2"/>
  <c r="Y94" i="2" s="1"/>
  <c r="Q94" i="2"/>
  <c r="Z94" i="2" s="1"/>
  <c r="R94" i="2"/>
  <c r="AA94" i="2" s="1"/>
  <c r="S94" i="2"/>
  <c r="AB94" i="2" s="1"/>
  <c r="T94" i="2"/>
  <c r="AC94" i="2" s="1"/>
  <c r="L95" i="2"/>
  <c r="U95" i="2" s="1"/>
  <c r="M95" i="2"/>
  <c r="V95" i="2" s="1"/>
  <c r="N95" i="2"/>
  <c r="W95" i="2" s="1"/>
  <c r="O95" i="2"/>
  <c r="X95" i="2" s="1"/>
  <c r="P95" i="2"/>
  <c r="Y95" i="2" s="1"/>
  <c r="Q95" i="2"/>
  <c r="Z95" i="2" s="1"/>
  <c r="R95" i="2"/>
  <c r="AA95" i="2" s="1"/>
  <c r="S95" i="2"/>
  <c r="AB95" i="2" s="1"/>
  <c r="T95" i="2"/>
  <c r="AC95" i="2" s="1"/>
  <c r="L96" i="2"/>
  <c r="U96" i="2" s="1"/>
  <c r="M96" i="2"/>
  <c r="V96" i="2" s="1"/>
  <c r="N96" i="2"/>
  <c r="W96" i="2" s="1"/>
  <c r="O96" i="2"/>
  <c r="X96" i="2" s="1"/>
  <c r="P96" i="2"/>
  <c r="Y96" i="2" s="1"/>
  <c r="Q96" i="2"/>
  <c r="Z96" i="2" s="1"/>
  <c r="R96" i="2"/>
  <c r="AA96" i="2" s="1"/>
  <c r="S96" i="2"/>
  <c r="AB96" i="2" s="1"/>
  <c r="T96" i="2"/>
  <c r="AC96" i="2" s="1"/>
  <c r="L97" i="2"/>
  <c r="U97" i="2" s="1"/>
  <c r="M97" i="2"/>
  <c r="V97" i="2" s="1"/>
  <c r="N97" i="2"/>
  <c r="W97" i="2" s="1"/>
  <c r="O97" i="2"/>
  <c r="X97" i="2" s="1"/>
  <c r="P97" i="2"/>
  <c r="Y97" i="2" s="1"/>
  <c r="Q97" i="2"/>
  <c r="Z97" i="2" s="1"/>
  <c r="R97" i="2"/>
  <c r="AA97" i="2" s="1"/>
  <c r="S97" i="2"/>
  <c r="AB97" i="2" s="1"/>
  <c r="T97" i="2"/>
  <c r="AC97" i="2" s="1"/>
  <c r="L98" i="2"/>
  <c r="U98" i="2" s="1"/>
  <c r="M98" i="2"/>
  <c r="V98" i="2" s="1"/>
  <c r="N98" i="2"/>
  <c r="W98" i="2" s="1"/>
  <c r="O98" i="2"/>
  <c r="X98" i="2" s="1"/>
  <c r="P98" i="2"/>
  <c r="Y98" i="2" s="1"/>
  <c r="Q98" i="2"/>
  <c r="Z98" i="2" s="1"/>
  <c r="R98" i="2"/>
  <c r="AA98" i="2" s="1"/>
  <c r="S98" i="2"/>
  <c r="AB98" i="2" s="1"/>
  <c r="T98" i="2"/>
  <c r="AC98" i="2" s="1"/>
  <c r="L99" i="2"/>
  <c r="U99" i="2" s="1"/>
  <c r="M99" i="2"/>
  <c r="V99" i="2" s="1"/>
  <c r="N99" i="2"/>
  <c r="W99" i="2" s="1"/>
  <c r="O99" i="2"/>
  <c r="X99" i="2" s="1"/>
  <c r="P99" i="2"/>
  <c r="Y99" i="2" s="1"/>
  <c r="Q99" i="2"/>
  <c r="Z99" i="2" s="1"/>
  <c r="R99" i="2"/>
  <c r="AA99" i="2" s="1"/>
  <c r="S99" i="2"/>
  <c r="AB99" i="2" s="1"/>
  <c r="T99" i="2"/>
  <c r="AC99" i="2" s="1"/>
  <c r="L100" i="2"/>
  <c r="U100" i="2" s="1"/>
  <c r="M100" i="2"/>
  <c r="V100" i="2" s="1"/>
  <c r="N100" i="2"/>
  <c r="W100" i="2" s="1"/>
  <c r="O100" i="2"/>
  <c r="X100" i="2" s="1"/>
  <c r="P100" i="2"/>
  <c r="Y100" i="2" s="1"/>
  <c r="Q100" i="2"/>
  <c r="Z100" i="2" s="1"/>
  <c r="R100" i="2"/>
  <c r="AA100" i="2" s="1"/>
  <c r="S100" i="2"/>
  <c r="AB100" i="2" s="1"/>
  <c r="T100" i="2"/>
  <c r="AC100" i="2" s="1"/>
  <c r="L101" i="2"/>
  <c r="U101" i="2" s="1"/>
  <c r="M101" i="2"/>
  <c r="V101" i="2" s="1"/>
  <c r="N101" i="2"/>
  <c r="W101" i="2" s="1"/>
  <c r="O101" i="2"/>
  <c r="X101" i="2" s="1"/>
  <c r="P101" i="2"/>
  <c r="Y101" i="2" s="1"/>
  <c r="Q101" i="2"/>
  <c r="Z101" i="2" s="1"/>
  <c r="R101" i="2"/>
  <c r="AA101" i="2" s="1"/>
  <c r="S101" i="2"/>
  <c r="AB101" i="2" s="1"/>
  <c r="T101" i="2"/>
  <c r="AC101" i="2" s="1"/>
  <c r="L102" i="2"/>
  <c r="U102" i="2" s="1"/>
  <c r="M102" i="2"/>
  <c r="V102" i="2" s="1"/>
  <c r="N102" i="2"/>
  <c r="W102" i="2" s="1"/>
  <c r="O102" i="2"/>
  <c r="X102" i="2" s="1"/>
  <c r="P102" i="2"/>
  <c r="Y102" i="2" s="1"/>
  <c r="Q102" i="2"/>
  <c r="Z102" i="2" s="1"/>
  <c r="R102" i="2"/>
  <c r="AA102" i="2" s="1"/>
  <c r="S102" i="2"/>
  <c r="AB102" i="2" s="1"/>
  <c r="T102" i="2"/>
  <c r="AC102" i="2" s="1"/>
  <c r="L103" i="2"/>
  <c r="U103" i="2" s="1"/>
  <c r="M103" i="2"/>
  <c r="V103" i="2" s="1"/>
  <c r="N103" i="2"/>
  <c r="W103" i="2" s="1"/>
  <c r="O103" i="2"/>
  <c r="X103" i="2" s="1"/>
  <c r="P103" i="2"/>
  <c r="Y103" i="2" s="1"/>
  <c r="Q103" i="2"/>
  <c r="Z103" i="2" s="1"/>
  <c r="R103" i="2"/>
  <c r="AA103" i="2" s="1"/>
  <c r="S103" i="2"/>
  <c r="AB103" i="2" s="1"/>
  <c r="T103" i="2"/>
  <c r="AC103" i="2" s="1"/>
  <c r="L104" i="2"/>
  <c r="U104" i="2" s="1"/>
  <c r="M104" i="2"/>
  <c r="V104" i="2" s="1"/>
  <c r="N104" i="2"/>
  <c r="W104" i="2" s="1"/>
  <c r="O104" i="2"/>
  <c r="X104" i="2" s="1"/>
  <c r="P104" i="2"/>
  <c r="Y104" i="2" s="1"/>
  <c r="Q104" i="2"/>
  <c r="Z104" i="2" s="1"/>
  <c r="R104" i="2"/>
  <c r="AA104" i="2" s="1"/>
  <c r="S104" i="2"/>
  <c r="AB104" i="2" s="1"/>
  <c r="T104" i="2"/>
  <c r="AC104" i="2" s="1"/>
  <c r="L105" i="2"/>
  <c r="U105" i="2" s="1"/>
  <c r="M105" i="2"/>
  <c r="V105" i="2" s="1"/>
  <c r="N105" i="2"/>
  <c r="W105" i="2" s="1"/>
  <c r="O105" i="2"/>
  <c r="X105" i="2" s="1"/>
  <c r="P105" i="2"/>
  <c r="Y105" i="2" s="1"/>
  <c r="Q105" i="2"/>
  <c r="Z105" i="2" s="1"/>
  <c r="R105" i="2"/>
  <c r="AA105" i="2" s="1"/>
  <c r="S105" i="2"/>
  <c r="AB105" i="2" s="1"/>
  <c r="T105" i="2"/>
  <c r="AC105" i="2" s="1"/>
  <c r="B7" i="2" l="1"/>
  <c r="B6" i="8" a="1"/>
  <c r="L7" i="2"/>
  <c r="L6" i="2"/>
  <c r="T300" i="2"/>
  <c r="T301" i="2"/>
  <c r="S300" i="2"/>
  <c r="S301" i="2"/>
  <c r="S150" i="2" a="1"/>
  <c r="Q300" i="2"/>
  <c r="Q301" i="2"/>
  <c r="P300" i="2"/>
  <c r="P301" i="2"/>
  <c r="O300" i="2"/>
  <c r="O301" i="2"/>
  <c r="N300" i="2"/>
  <c r="N301" i="2"/>
  <c r="M300" i="2"/>
  <c r="M301" i="2"/>
  <c r="R300" i="2"/>
  <c r="R301" i="2"/>
  <c r="R150" i="2" a="1"/>
  <c r="Q150" i="2" a="1"/>
  <c r="P150" i="2" a="1"/>
  <c r="O150" i="2" a="1"/>
  <c r="O150" i="2" s="1"/>
  <c r="N150" i="2" a="1"/>
  <c r="M150" i="2" a="1"/>
  <c r="T150" i="2" a="1"/>
  <c r="O362" i="2" a="1"/>
  <c r="O362" i="2" s="1"/>
  <c r="O364" i="2" s="1"/>
  <c r="O260" i="2" a="1"/>
  <c r="O260" i="2" s="1"/>
  <c r="T120" i="2" a="1"/>
  <c r="T120" i="2" s="1"/>
  <c r="R120" i="2" a="1"/>
  <c r="R120" i="2" s="1"/>
  <c r="Q120" i="2" a="1"/>
  <c r="Q120" i="2" s="1"/>
  <c r="O120" i="2" a="1"/>
  <c r="O120" i="2" s="1"/>
  <c r="N120" i="2" a="1"/>
  <c r="N120" i="2" s="1"/>
  <c r="M120" i="2" a="1"/>
  <c r="M120" i="2" s="1"/>
  <c r="S120" i="2" a="1"/>
  <c r="S120" i="2" s="1"/>
  <c r="P120" i="2" a="1"/>
  <c r="P120" i="2" s="1"/>
  <c r="M131" i="2" a="1"/>
  <c r="M131" i="2" s="1"/>
  <c r="N131" i="2" a="1"/>
  <c r="N131" i="2" s="1"/>
  <c r="O131" i="2" a="1"/>
  <c r="O131" i="2" s="1"/>
  <c r="P131" i="2" a="1"/>
  <c r="P131" i="2" s="1"/>
  <c r="Q131" i="2" a="1"/>
  <c r="Q131" i="2" s="1"/>
  <c r="R131" i="2" a="1"/>
  <c r="R131" i="2" s="1"/>
  <c r="S131" i="2" a="1"/>
  <c r="S131" i="2" s="1"/>
  <c r="T131" i="2" a="1"/>
  <c r="T131" i="2" s="1"/>
  <c r="M130" i="2" a="1"/>
  <c r="M130" i="2" s="1"/>
  <c r="N130" i="2" a="1"/>
  <c r="N130" i="2" s="1"/>
  <c r="O130" i="2" a="1"/>
  <c r="O130" i="2" s="1"/>
  <c r="P130" i="2" a="1"/>
  <c r="P130" i="2" s="1"/>
  <c r="Q130" i="2" a="1"/>
  <c r="Q130" i="2" s="1"/>
  <c r="R130" i="2" a="1"/>
  <c r="R130" i="2" s="1"/>
  <c r="S130" i="2" a="1"/>
  <c r="S130" i="2" s="1"/>
  <c r="T130" i="2" a="1"/>
  <c r="T130" i="2" s="1"/>
  <c r="M129" i="2" a="1"/>
  <c r="M129" i="2" s="1"/>
  <c r="N129" i="2" a="1"/>
  <c r="N129" i="2" s="1"/>
  <c r="O129" i="2" a="1"/>
  <c r="O129" i="2" s="1"/>
  <c r="P129" i="2" a="1"/>
  <c r="P129" i="2" s="1"/>
  <c r="Q129" i="2" a="1"/>
  <c r="Q129" i="2" s="1"/>
  <c r="R129" i="2" a="1"/>
  <c r="R129" i="2" s="1"/>
  <c r="S129" i="2" a="1"/>
  <c r="S129" i="2" s="1"/>
  <c r="T129" i="2" a="1"/>
  <c r="T129" i="2" s="1"/>
  <c r="M128" i="2" a="1"/>
  <c r="M128" i="2" s="1"/>
  <c r="N128" i="2" a="1"/>
  <c r="N128" i="2" s="1"/>
  <c r="O128" i="2" a="1"/>
  <c r="O128" i="2" s="1"/>
  <c r="P128" i="2" a="1"/>
  <c r="P128" i="2" s="1"/>
  <c r="Q128" i="2" a="1"/>
  <c r="Q128" i="2" s="1"/>
  <c r="R128" i="2" a="1"/>
  <c r="R128" i="2" s="1"/>
  <c r="S128" i="2" a="1"/>
  <c r="S128" i="2" s="1"/>
  <c r="T128" i="2" a="1"/>
  <c r="T128" i="2" s="1"/>
  <c r="M127" i="2" a="1"/>
  <c r="M127" i="2" s="1"/>
  <c r="N127" i="2" a="1"/>
  <c r="N127" i="2" s="1"/>
  <c r="O127" i="2" a="1"/>
  <c r="O127" i="2" s="1"/>
  <c r="P127" i="2" a="1"/>
  <c r="P127" i="2" s="1"/>
  <c r="Q127" i="2" a="1"/>
  <c r="Q127" i="2" s="1"/>
  <c r="R127" i="2" a="1"/>
  <c r="R127" i="2" s="1"/>
  <c r="S127" i="2" a="1"/>
  <c r="S127" i="2" s="1"/>
  <c r="T127" i="2" a="1"/>
  <c r="T127" i="2" s="1"/>
  <c r="M126" i="2" a="1"/>
  <c r="M126" i="2" s="1"/>
  <c r="N126" i="2" a="1"/>
  <c r="N126" i="2" s="1"/>
  <c r="O126" i="2" a="1"/>
  <c r="O126" i="2" s="1"/>
  <c r="P126" i="2" a="1"/>
  <c r="P126" i="2" s="1"/>
  <c r="Q126" i="2" a="1"/>
  <c r="Q126" i="2" s="1"/>
  <c r="R126" i="2" a="1"/>
  <c r="R126" i="2" s="1"/>
  <c r="S126" i="2" a="1"/>
  <c r="S126" i="2" s="1"/>
  <c r="T126" i="2" a="1"/>
  <c r="T126" i="2" s="1"/>
  <c r="M125" i="2" a="1"/>
  <c r="M125" i="2" s="1"/>
  <c r="N125" i="2" a="1"/>
  <c r="N125" i="2" s="1"/>
  <c r="O125" i="2" a="1"/>
  <c r="O125" i="2" s="1"/>
  <c r="P125" i="2" a="1"/>
  <c r="P125" i="2" s="1"/>
  <c r="Q125" i="2" a="1"/>
  <c r="Q125" i="2" s="1"/>
  <c r="R125" i="2" a="1"/>
  <c r="R125" i="2" s="1"/>
  <c r="S125" i="2" a="1"/>
  <c r="S125" i="2" s="1"/>
  <c r="T125" i="2" a="1"/>
  <c r="T125" i="2" s="1"/>
  <c r="M124" i="2" a="1"/>
  <c r="M124" i="2" s="1"/>
  <c r="N124" i="2" a="1"/>
  <c r="N124" i="2" s="1"/>
  <c r="O124" i="2" a="1"/>
  <c r="O124" i="2" s="1"/>
  <c r="P124" i="2" a="1"/>
  <c r="P124" i="2" s="1"/>
  <c r="Q124" i="2" a="1"/>
  <c r="Q124" i="2" s="1"/>
  <c r="R124" i="2" a="1"/>
  <c r="R124" i="2" s="1"/>
  <c r="S124" i="2" a="1"/>
  <c r="S124" i="2" s="1"/>
  <c r="T124" i="2" a="1"/>
  <c r="T124" i="2" s="1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E105" i="2"/>
  <c r="AF105" i="2" s="1"/>
  <c r="AE104" i="2"/>
  <c r="AF104" i="2" s="1"/>
  <c r="AE103" i="2"/>
  <c r="AF103" i="2" s="1"/>
  <c r="AE102" i="2"/>
  <c r="AF102" i="2" s="1"/>
  <c r="AE101" i="2"/>
  <c r="AF101" i="2" s="1"/>
  <c r="AE100" i="2"/>
  <c r="AF100" i="2" s="1"/>
  <c r="AE99" i="2"/>
  <c r="AF99" i="2" s="1"/>
  <c r="AE98" i="2"/>
  <c r="AF98" i="2" s="1"/>
  <c r="AE97" i="2"/>
  <c r="AF97" i="2" s="1"/>
  <c r="AE96" i="2"/>
  <c r="AF96" i="2" s="1"/>
  <c r="AE95" i="2"/>
  <c r="AF95" i="2" s="1"/>
  <c r="AE94" i="2"/>
  <c r="AF94" i="2" s="1"/>
  <c r="AE93" i="2"/>
  <c r="AF93" i="2" s="1"/>
  <c r="AE92" i="2"/>
  <c r="AF92" i="2" s="1"/>
  <c r="AE91" i="2"/>
  <c r="AF91" i="2" s="1"/>
  <c r="AE90" i="2"/>
  <c r="AF90" i="2" s="1"/>
  <c r="AE89" i="2"/>
  <c r="AF89" i="2" s="1"/>
  <c r="AE88" i="2"/>
  <c r="AF88" i="2" s="1"/>
  <c r="AE87" i="2"/>
  <c r="AF87" i="2" s="1"/>
  <c r="AE86" i="2"/>
  <c r="AF86" i="2" s="1"/>
  <c r="AE85" i="2"/>
  <c r="AF85" i="2" s="1"/>
  <c r="AE84" i="2"/>
  <c r="AF84" i="2" s="1"/>
  <c r="AE83" i="2"/>
  <c r="AF83" i="2" s="1"/>
  <c r="AE82" i="2"/>
  <c r="AF82" i="2" s="1"/>
  <c r="AE81" i="2"/>
  <c r="AF81" i="2" s="1"/>
  <c r="AE80" i="2"/>
  <c r="AF80" i="2" s="1"/>
  <c r="AE79" i="2"/>
  <c r="AF79" i="2" s="1"/>
  <c r="AE78" i="2"/>
  <c r="AF78" i="2" s="1"/>
  <c r="AE77" i="2"/>
  <c r="AF77" i="2" s="1"/>
  <c r="AE76" i="2"/>
  <c r="AF76" i="2" s="1"/>
  <c r="AE75" i="2"/>
  <c r="AF75" i="2" s="1"/>
  <c r="AE74" i="2"/>
  <c r="AF74" i="2" s="1"/>
  <c r="AE73" i="2"/>
  <c r="AF73" i="2" s="1"/>
  <c r="AE72" i="2"/>
  <c r="AF72" i="2" s="1"/>
  <c r="AE71" i="2"/>
  <c r="AF71" i="2" s="1"/>
  <c r="AE70" i="2"/>
  <c r="AF70" i="2" s="1"/>
  <c r="AE69" i="2"/>
  <c r="AF69" i="2" s="1"/>
  <c r="AE68" i="2"/>
  <c r="AF68" i="2" s="1"/>
  <c r="AE67" i="2"/>
  <c r="AF67" i="2" s="1"/>
  <c r="AE66" i="2"/>
  <c r="AF66" i="2" s="1"/>
  <c r="AE65" i="2"/>
  <c r="AF65" i="2" s="1"/>
  <c r="AE64" i="2"/>
  <c r="AF64" i="2" s="1"/>
  <c r="AE63" i="2"/>
  <c r="AF63" i="2" s="1"/>
  <c r="AE62" i="2"/>
  <c r="AF62" i="2" s="1"/>
  <c r="AE61" i="2"/>
  <c r="AF61" i="2" s="1"/>
  <c r="AE60" i="2"/>
  <c r="AF60" i="2" s="1"/>
  <c r="AE59" i="2"/>
  <c r="AF59" i="2" s="1"/>
  <c r="AE58" i="2"/>
  <c r="AF58" i="2" s="1"/>
  <c r="AE57" i="2"/>
  <c r="AF57" i="2" s="1"/>
  <c r="AE56" i="2"/>
  <c r="AF56" i="2" s="1"/>
  <c r="AE55" i="2"/>
  <c r="AF55" i="2" s="1"/>
  <c r="AE54" i="2"/>
  <c r="AF54" i="2" s="1"/>
  <c r="AE53" i="2"/>
  <c r="AF53" i="2" s="1"/>
  <c r="AE52" i="2"/>
  <c r="AF52" i="2" s="1"/>
  <c r="AE51" i="2"/>
  <c r="AF51" i="2" s="1"/>
  <c r="AE50" i="2"/>
  <c r="AF50" i="2" s="1"/>
  <c r="AE49" i="2"/>
  <c r="AF49" i="2" s="1"/>
  <c r="AE48" i="2"/>
  <c r="AF48" i="2" s="1"/>
  <c r="AE47" i="2"/>
  <c r="AF47" i="2" s="1"/>
  <c r="AE46" i="2"/>
  <c r="AF46" i="2" s="1"/>
  <c r="AE45" i="2"/>
  <c r="AF45" i="2" s="1"/>
  <c r="AE44" i="2"/>
  <c r="AF44" i="2" s="1"/>
  <c r="AE43" i="2"/>
  <c r="AF43" i="2" s="1"/>
  <c r="AE42" i="2"/>
  <c r="AF42" i="2" s="1"/>
  <c r="AE41" i="2"/>
  <c r="AF41" i="2" s="1"/>
  <c r="AE40" i="2"/>
  <c r="AF40" i="2" s="1"/>
  <c r="AE39" i="2"/>
  <c r="AF39" i="2" s="1"/>
  <c r="AE38" i="2"/>
  <c r="AF38" i="2" s="1"/>
  <c r="AE37" i="2"/>
  <c r="AF37" i="2" s="1"/>
  <c r="AE36" i="2"/>
  <c r="AF36" i="2" s="1"/>
  <c r="AE35" i="2"/>
  <c r="AF35" i="2" s="1"/>
  <c r="AE34" i="2"/>
  <c r="AF34" i="2" s="1"/>
  <c r="AE33" i="2"/>
  <c r="AF33" i="2" s="1"/>
  <c r="AE32" i="2"/>
  <c r="AF32" i="2" s="1"/>
  <c r="AE31" i="2"/>
  <c r="AF31" i="2" s="1"/>
  <c r="AE30" i="2"/>
  <c r="AF30" i="2" s="1"/>
  <c r="AE29" i="2"/>
  <c r="AF29" i="2" s="1"/>
  <c r="AE28" i="2"/>
  <c r="AF28" i="2" s="1"/>
  <c r="AE27" i="2"/>
  <c r="AF27" i="2" s="1"/>
  <c r="AE26" i="2"/>
  <c r="AF26" i="2" s="1"/>
  <c r="AE25" i="2"/>
  <c r="AF25" i="2" s="1"/>
  <c r="AE24" i="2"/>
  <c r="AF24" i="2" s="1"/>
  <c r="AE23" i="2"/>
  <c r="AF23" i="2" s="1"/>
  <c r="AE22" i="2"/>
  <c r="AF22" i="2" s="1"/>
  <c r="AE21" i="2"/>
  <c r="AF21" i="2" s="1"/>
  <c r="AE20" i="2"/>
  <c r="AF20" i="2" s="1"/>
  <c r="AE19" i="2"/>
  <c r="AF19" i="2" s="1"/>
  <c r="AE18" i="2"/>
  <c r="AF18" i="2" s="1"/>
  <c r="AE17" i="2"/>
  <c r="AF17" i="2" s="1"/>
  <c r="AE16" i="2"/>
  <c r="AF16" i="2" s="1"/>
  <c r="AE15" i="2"/>
  <c r="AE14" i="2"/>
  <c r="AF14" i="2" s="1"/>
  <c r="AE13" i="2"/>
  <c r="AF13" i="2" s="1"/>
  <c r="B6" i="8" l="1"/>
  <c r="L7" i="8" a="1"/>
  <c r="L7" i="8" s="1"/>
  <c r="M7" i="8" a="1"/>
  <c r="M7" i="8" s="1"/>
  <c r="N7" i="8" a="1"/>
  <c r="N7" i="8" s="1"/>
  <c r="O7" i="8" a="1"/>
  <c r="O7" i="8" s="1"/>
  <c r="P7" i="8" a="1"/>
  <c r="P7" i="8" s="1"/>
  <c r="Q7" i="8" a="1"/>
  <c r="Q7" i="8" s="1"/>
  <c r="R7" i="8" a="1"/>
  <c r="R7" i="8" s="1"/>
  <c r="S7" i="8" a="1"/>
  <c r="S7" i="8" s="1"/>
  <c r="L8" i="8" a="1"/>
  <c r="L8" i="8" s="1"/>
  <c r="M8" i="8" a="1"/>
  <c r="M8" i="8" s="1"/>
  <c r="N8" i="8" a="1"/>
  <c r="N8" i="8" s="1"/>
  <c r="O8" i="8" a="1"/>
  <c r="O8" i="8" s="1"/>
  <c r="P8" i="8" a="1"/>
  <c r="P8" i="8" s="1"/>
  <c r="Q8" i="8" a="1"/>
  <c r="Q8" i="8" s="1"/>
  <c r="R8" i="8" a="1"/>
  <c r="R8" i="8" s="1"/>
  <c r="S8" i="8" a="1"/>
  <c r="S8" i="8" s="1"/>
  <c r="L9" i="8" a="1"/>
  <c r="L9" i="8" s="1"/>
  <c r="M9" i="8" a="1"/>
  <c r="M9" i="8" s="1"/>
  <c r="N9" i="8" a="1"/>
  <c r="N9" i="8" s="1"/>
  <c r="O9" i="8" a="1"/>
  <c r="O9" i="8" s="1"/>
  <c r="P9" i="8" a="1"/>
  <c r="P9" i="8" s="1"/>
  <c r="Q9" i="8" a="1"/>
  <c r="Q9" i="8" s="1"/>
  <c r="R9" i="8" a="1"/>
  <c r="R9" i="8" s="1"/>
  <c r="S9" i="8" a="1"/>
  <c r="S9" i="8" s="1"/>
  <c r="L10" i="8" a="1"/>
  <c r="L10" i="8" s="1"/>
  <c r="M10" i="8" a="1"/>
  <c r="M10" i="8" s="1"/>
  <c r="N10" i="8" a="1"/>
  <c r="N10" i="8" s="1"/>
  <c r="O10" i="8" a="1"/>
  <c r="O10" i="8" s="1"/>
  <c r="P10" i="8" a="1"/>
  <c r="P10" i="8" s="1"/>
  <c r="Q10" i="8" a="1"/>
  <c r="Q10" i="8" s="1"/>
  <c r="R10" i="8" a="1"/>
  <c r="R10" i="8" s="1"/>
  <c r="S10" i="8" a="1"/>
  <c r="S10" i="8" s="1"/>
  <c r="L11" i="8" a="1"/>
  <c r="L11" i="8" s="1"/>
  <c r="M11" i="8" a="1"/>
  <c r="M11" i="8" s="1"/>
  <c r="N11" i="8" a="1"/>
  <c r="N11" i="8" s="1"/>
  <c r="O11" i="8" a="1"/>
  <c r="O11" i="8" s="1"/>
  <c r="P11" i="8" a="1"/>
  <c r="P11" i="8" s="1"/>
  <c r="Q11" i="8" a="1"/>
  <c r="Q11" i="8" s="1"/>
  <c r="R11" i="8" a="1"/>
  <c r="R11" i="8" s="1"/>
  <c r="S11" i="8" a="1"/>
  <c r="S11" i="8" s="1"/>
  <c r="L12" i="8" a="1"/>
  <c r="L12" i="8" s="1"/>
  <c r="M12" i="8" a="1"/>
  <c r="M12" i="8" s="1"/>
  <c r="N12" i="8" a="1"/>
  <c r="N12" i="8" s="1"/>
  <c r="O12" i="8" a="1"/>
  <c r="O12" i="8" s="1"/>
  <c r="P12" i="8" a="1"/>
  <c r="P12" i="8" s="1"/>
  <c r="Q12" i="8" a="1"/>
  <c r="Q12" i="8" s="1"/>
  <c r="R12" i="8" a="1"/>
  <c r="R12" i="8" s="1"/>
  <c r="S12" i="8" a="1"/>
  <c r="S12" i="8" s="1"/>
  <c r="L6" i="8" a="1"/>
  <c r="L6" i="8" s="1"/>
  <c r="M6" i="8" a="1"/>
  <c r="M6" i="8" s="1"/>
  <c r="N6" i="8" a="1"/>
  <c r="N6" i="8" s="1"/>
  <c r="O6" i="8" a="1"/>
  <c r="O6" i="8" s="1"/>
  <c r="P6" i="8" a="1"/>
  <c r="P6" i="8" s="1"/>
  <c r="Q6" i="8" a="1"/>
  <c r="Q6" i="8" s="1"/>
  <c r="R6" i="8" a="1"/>
  <c r="R6" i="8" s="1"/>
  <c r="S6" i="8" a="1"/>
  <c r="S6" i="8" s="1"/>
  <c r="L8" i="2"/>
  <c r="L9" i="2"/>
  <c r="L10" i="2"/>
  <c r="U10" i="2" s="1"/>
  <c r="AD10" i="2" s="1"/>
  <c r="L11" i="2"/>
  <c r="U11" i="2" s="1"/>
  <c r="AD11" i="2" s="1"/>
  <c r="L12" i="2"/>
  <c r="U12" i="2" s="1"/>
  <c r="AD12" i="2" s="1"/>
  <c r="S150" i="2"/>
  <c r="S260" i="2" s="1" a="1"/>
  <c r="S260" i="2" s="1"/>
  <c r="S362" i="2" a="1"/>
  <c r="S362" i="2" s="1"/>
  <c r="S364" i="2" s="1"/>
  <c r="R150" i="2"/>
  <c r="R260" i="2" s="1" a="1"/>
  <c r="R260" i="2" s="1"/>
  <c r="R362" i="2" a="1"/>
  <c r="R362" i="2" s="1"/>
  <c r="R364" i="2" s="1"/>
  <c r="Q150" i="2"/>
  <c r="Q260" i="2" a="1"/>
  <c r="Q260" i="2" s="1"/>
  <c r="Q362" i="2" a="1"/>
  <c r="Q362" i="2" s="1"/>
  <c r="Q364" i="2" s="1"/>
  <c r="P150" i="2"/>
  <c r="P260" i="2" s="1" a="1"/>
  <c r="P260" i="2" s="1"/>
  <c r="P362" i="2" a="1"/>
  <c r="P362" i="2" s="1"/>
  <c r="P364" i="2" s="1"/>
  <c r="N150" i="2"/>
  <c r="N260" i="2" a="1"/>
  <c r="N260" i="2" s="1"/>
  <c r="N362" i="2" a="1"/>
  <c r="N362" i="2" s="1"/>
  <c r="N364" i="2" s="1"/>
  <c r="M150" i="2"/>
  <c r="M260" i="2" s="1" a="1"/>
  <c r="M260" i="2" s="1"/>
  <c r="M362" i="2" a="1"/>
  <c r="M362" i="2" s="1"/>
  <c r="M364" i="2" s="1"/>
  <c r="T150" i="2"/>
  <c r="T260" i="2" a="1"/>
  <c r="T260" i="2" s="1"/>
  <c r="T362" i="2" a="1"/>
  <c r="T362" i="2" s="1"/>
  <c r="T364" i="2" s="1"/>
  <c r="AF15" i="2"/>
  <c r="L301" i="2" l="1"/>
  <c r="L300" i="2"/>
  <c r="L150" i="2" a="1"/>
  <c r="B6" i="7" a="1"/>
  <c r="L131" i="2" a="1"/>
  <c r="L131" i="2" s="1"/>
  <c r="T132" i="2" s="1" a="1"/>
  <c r="T132" i="2" s="1"/>
  <c r="L129" i="2" a="1"/>
  <c r="L129" i="2" s="1"/>
  <c r="R132" i="2" s="1" a="1"/>
  <c r="R132" i="2" s="1"/>
  <c r="L128" i="2" a="1"/>
  <c r="L128" i="2" s="1"/>
  <c r="Q132" i="2" s="1" a="1"/>
  <c r="Q132" i="2" s="1"/>
  <c r="L126" i="2" a="1"/>
  <c r="L126" i="2" s="1"/>
  <c r="O132" i="2" s="1" a="1"/>
  <c r="O132" i="2" s="1"/>
  <c r="L125" i="2" a="1"/>
  <c r="L125" i="2" s="1"/>
  <c r="N132" i="2" s="1" a="1"/>
  <c r="N132" i="2" s="1"/>
  <c r="L124" i="2" a="1"/>
  <c r="L124" i="2" s="1"/>
  <c r="M132" i="2" s="1" a="1"/>
  <c r="M132" i="2" s="1"/>
  <c r="L123" i="2" a="1"/>
  <c r="L123" i="2" s="1"/>
  <c r="M123" i="2" a="1"/>
  <c r="M123" i="2" s="1"/>
  <c r="N123" i="2" a="1"/>
  <c r="N123" i="2" s="1"/>
  <c r="O123" i="2" a="1"/>
  <c r="O123" i="2" s="1"/>
  <c r="Q123" i="2" a="1"/>
  <c r="Q123" i="2" s="1"/>
  <c r="R123" i="2" a="1"/>
  <c r="R123" i="2" s="1"/>
  <c r="T123" i="2" a="1"/>
  <c r="T123" i="2" s="1"/>
  <c r="L120" i="2" a="1"/>
  <c r="L120" i="2" s="1"/>
  <c r="L130" i="2" a="1"/>
  <c r="L130" i="2" s="1"/>
  <c r="S132" i="2" s="1" a="1"/>
  <c r="S132" i="2" s="1"/>
  <c r="S123" i="2" a="1"/>
  <c r="S123" i="2" s="1"/>
  <c r="L127" i="2" a="1"/>
  <c r="L127" i="2" s="1"/>
  <c r="P132" i="2" s="1" a="1"/>
  <c r="P132" i="2" s="1"/>
  <c r="P123" i="2" a="1"/>
  <c r="P123" i="2" s="1"/>
  <c r="K7" i="8" a="1"/>
  <c r="K7" i="8" s="1"/>
  <c r="K8" i="8" a="1"/>
  <c r="K8" i="8" s="1"/>
  <c r="K9" i="8" a="1"/>
  <c r="K9" i="8" s="1"/>
  <c r="K10" i="8" a="1"/>
  <c r="K10" i="8" s="1"/>
  <c r="K11" i="8" a="1"/>
  <c r="K11" i="8" s="1"/>
  <c r="K12" i="8" a="1"/>
  <c r="K12" i="8" s="1"/>
  <c r="K6" i="8" a="1"/>
  <c r="K6" i="8" s="1"/>
  <c r="T133" i="2"/>
  <c r="S133" i="2"/>
  <c r="R133" i="2"/>
  <c r="Q133" i="2"/>
  <c r="P133" i="2"/>
  <c r="O133" i="2"/>
  <c r="N133" i="2"/>
  <c r="M133" i="2"/>
  <c r="L132" i="2" l="1" a="1"/>
  <c r="L132" i="2" s="1"/>
  <c r="K13" i="7" a="1"/>
  <c r="K13" i="7" s="1"/>
  <c r="K14" i="7" a="1"/>
  <c r="K14" i="7" s="1"/>
  <c r="K15" i="7" a="1"/>
  <c r="K15" i="7" s="1"/>
  <c r="K16" i="7" a="1"/>
  <c r="K16" i="7" s="1"/>
  <c r="K17" i="7" a="1"/>
  <c r="K17" i="7" s="1"/>
  <c r="K18" i="7" a="1"/>
  <c r="K18" i="7" s="1"/>
  <c r="K19" i="7" a="1"/>
  <c r="K19" i="7" s="1"/>
  <c r="K20" i="7" a="1"/>
  <c r="K20" i="7" s="1"/>
  <c r="K21" i="7" a="1"/>
  <c r="K21" i="7" s="1"/>
  <c r="K22" i="7" a="1"/>
  <c r="K22" i="7" s="1"/>
  <c r="K23" i="7" a="1"/>
  <c r="K23" i="7" s="1"/>
  <c r="K24" i="7" a="1"/>
  <c r="K24" i="7" s="1"/>
  <c r="K25" i="7" a="1"/>
  <c r="K25" i="7" s="1"/>
  <c r="K26" i="7" a="1"/>
  <c r="K26" i="7" s="1"/>
  <c r="K27" i="7" a="1"/>
  <c r="K27" i="7" s="1"/>
  <c r="K28" i="7" a="1"/>
  <c r="K28" i="7" s="1"/>
  <c r="K29" i="7" a="1"/>
  <c r="K29" i="7" s="1"/>
  <c r="K30" i="7" a="1"/>
  <c r="K30" i="7" s="1"/>
  <c r="K31" i="7" a="1"/>
  <c r="K31" i="7" s="1"/>
  <c r="K32" i="7" a="1"/>
  <c r="K32" i="7" s="1"/>
  <c r="K33" i="7" a="1"/>
  <c r="K33" i="7" s="1"/>
  <c r="K34" i="7" a="1"/>
  <c r="K34" i="7" s="1"/>
  <c r="K35" i="7" a="1"/>
  <c r="K35" i="7" s="1"/>
  <c r="K36" i="7" a="1"/>
  <c r="K36" i="7" s="1"/>
  <c r="K37" i="7" a="1"/>
  <c r="K37" i="7" s="1"/>
  <c r="K38" i="7" a="1"/>
  <c r="K38" i="7" s="1"/>
  <c r="K39" i="7" a="1"/>
  <c r="K39" i="7" s="1"/>
  <c r="K40" i="7" a="1"/>
  <c r="K40" i="7" s="1"/>
  <c r="K41" i="7" a="1"/>
  <c r="K41" i="7" s="1"/>
  <c r="K42" i="7" a="1"/>
  <c r="K42" i="7" s="1"/>
  <c r="K43" i="7" a="1"/>
  <c r="K43" i="7" s="1"/>
  <c r="K44" i="7" a="1"/>
  <c r="K44" i="7" s="1"/>
  <c r="K45" i="7" a="1"/>
  <c r="K45" i="7" s="1"/>
  <c r="K46" i="7" a="1"/>
  <c r="K46" i="7" s="1"/>
  <c r="K47" i="7" a="1"/>
  <c r="K47" i="7" s="1"/>
  <c r="K48" i="7" a="1"/>
  <c r="K48" i="7" s="1"/>
  <c r="K49" i="7" a="1"/>
  <c r="K49" i="7" s="1"/>
  <c r="K50" i="7" a="1"/>
  <c r="K50" i="7" s="1"/>
  <c r="K51" i="7" a="1"/>
  <c r="K51" i="7" s="1"/>
  <c r="K52" i="7" a="1"/>
  <c r="K52" i="7" s="1"/>
  <c r="K53" i="7" a="1"/>
  <c r="K53" i="7" s="1"/>
  <c r="K54" i="7" a="1"/>
  <c r="K54" i="7" s="1"/>
  <c r="K55" i="7" a="1"/>
  <c r="K55" i="7" s="1"/>
  <c r="K56" i="7" a="1"/>
  <c r="K56" i="7" s="1"/>
  <c r="K57" i="7" a="1"/>
  <c r="K57" i="7" s="1"/>
  <c r="K58" i="7" a="1"/>
  <c r="K58" i="7" s="1"/>
  <c r="K59" i="7" a="1"/>
  <c r="K59" i="7" s="1"/>
  <c r="K60" i="7" a="1"/>
  <c r="K60" i="7" s="1"/>
  <c r="K61" i="7" a="1"/>
  <c r="K61" i="7" s="1"/>
  <c r="K62" i="7" a="1"/>
  <c r="K62" i="7" s="1"/>
  <c r="K63" i="7" a="1"/>
  <c r="K63" i="7" s="1"/>
  <c r="K64" i="7" a="1"/>
  <c r="K64" i="7" s="1"/>
  <c r="K65" i="7" a="1"/>
  <c r="K65" i="7" s="1"/>
  <c r="K66" i="7" a="1"/>
  <c r="K66" i="7" s="1"/>
  <c r="K67" i="7" a="1"/>
  <c r="K67" i="7" s="1"/>
  <c r="K68" i="7" a="1"/>
  <c r="K68" i="7" s="1"/>
  <c r="K69" i="7" a="1"/>
  <c r="K69" i="7" s="1"/>
  <c r="K70" i="7" a="1"/>
  <c r="K70" i="7" s="1"/>
  <c r="K71" i="7" a="1"/>
  <c r="K71" i="7" s="1"/>
  <c r="K72" i="7" a="1"/>
  <c r="K72" i="7" s="1"/>
  <c r="K73" i="7" a="1"/>
  <c r="K73" i="7" s="1"/>
  <c r="K74" i="7" a="1"/>
  <c r="K74" i="7" s="1"/>
  <c r="K75" i="7" a="1"/>
  <c r="K75" i="7" s="1"/>
  <c r="K76" i="7" a="1"/>
  <c r="K76" i="7" s="1"/>
  <c r="K77" i="7" a="1"/>
  <c r="K77" i="7" s="1"/>
  <c r="K78" i="7" a="1"/>
  <c r="K78" i="7" s="1"/>
  <c r="K79" i="7" a="1"/>
  <c r="K79" i="7" s="1"/>
  <c r="K80" i="7" a="1"/>
  <c r="K80" i="7" s="1"/>
  <c r="K81" i="7" a="1"/>
  <c r="K81" i="7" s="1"/>
  <c r="K82" i="7" a="1"/>
  <c r="K82" i="7" s="1"/>
  <c r="K83" i="7" a="1"/>
  <c r="K83" i="7" s="1"/>
  <c r="K84" i="7" a="1"/>
  <c r="K84" i="7" s="1"/>
  <c r="K85" i="7" a="1"/>
  <c r="K85" i="7" s="1"/>
  <c r="K86" i="7" a="1"/>
  <c r="K86" i="7" s="1"/>
  <c r="K87" i="7" a="1"/>
  <c r="K87" i="7" s="1"/>
  <c r="K88" i="7" a="1"/>
  <c r="K88" i="7" s="1"/>
  <c r="K89" i="7" a="1"/>
  <c r="K89" i="7" s="1"/>
  <c r="K90" i="7" a="1"/>
  <c r="K90" i="7" s="1"/>
  <c r="K91" i="7" a="1"/>
  <c r="K91" i="7" s="1"/>
  <c r="K92" i="7" a="1"/>
  <c r="K92" i="7" s="1"/>
  <c r="K93" i="7" a="1"/>
  <c r="K93" i="7" s="1"/>
  <c r="K94" i="7" a="1"/>
  <c r="K94" i="7" s="1"/>
  <c r="K95" i="7" a="1"/>
  <c r="K95" i="7" s="1"/>
  <c r="K96" i="7" a="1"/>
  <c r="K96" i="7" s="1"/>
  <c r="K97" i="7" a="1"/>
  <c r="K97" i="7" s="1"/>
  <c r="K98" i="7" a="1"/>
  <c r="K98" i="7" s="1"/>
  <c r="K99" i="7" a="1"/>
  <c r="K99" i="7" s="1"/>
  <c r="K100" i="7" a="1"/>
  <c r="K100" i="7" s="1"/>
  <c r="K101" i="7" a="1"/>
  <c r="K101" i="7" s="1"/>
  <c r="K102" i="7" a="1"/>
  <c r="K102" i="7" s="1"/>
  <c r="K103" i="7" a="1"/>
  <c r="K103" i="7" s="1"/>
  <c r="K104" i="7" a="1"/>
  <c r="K104" i="7" s="1"/>
  <c r="K105" i="7" a="1"/>
  <c r="K105" i="7" s="1"/>
  <c r="B6" i="7"/>
  <c r="L150" i="2"/>
  <c r="L362" i="2" a="1"/>
  <c r="L362" i="2" s="1"/>
  <c r="L364" i="2" s="1"/>
  <c r="L260" i="2" a="1"/>
  <c r="L260" i="2" s="1"/>
  <c r="M366" i="2" l="1"/>
  <c r="N366" i="2"/>
  <c r="O366" i="2"/>
  <c r="P366" i="2"/>
  <c r="Q366" i="2"/>
  <c r="R366" i="2"/>
  <c r="S366" i="2"/>
  <c r="T366" i="2"/>
  <c r="L366" i="2"/>
  <c r="T134" i="2"/>
  <c r="J7" i="1" s="1" a="1"/>
  <c r="J7" i="1" s="1"/>
  <c r="J4" i="2" s="1"/>
  <c r="S134" i="2"/>
  <c r="I7" i="1" s="1" a="1"/>
  <c r="I7" i="1" s="1"/>
  <c r="I4" i="2" s="1"/>
  <c r="R134" i="2"/>
  <c r="H7" i="1" s="1" a="1"/>
  <c r="H7" i="1" s="1"/>
  <c r="H4" i="2" s="1"/>
  <c r="Q134" i="2"/>
  <c r="G7" i="1" s="1" a="1"/>
  <c r="G7" i="1" s="1"/>
  <c r="G4" i="2" s="1"/>
  <c r="P134" i="2"/>
  <c r="F7" i="1" s="1" a="1"/>
  <c r="F7" i="1" s="1"/>
  <c r="F4" i="2" s="1"/>
  <c r="O134" i="2"/>
  <c r="E7" i="1" s="1" a="1"/>
  <c r="E7" i="1" s="1"/>
  <c r="E4" i="2" s="1"/>
  <c r="N134" i="2"/>
  <c r="D7" i="1" s="1" a="1"/>
  <c r="D7" i="1" s="1"/>
  <c r="D4" i="2" s="1"/>
  <c r="M134" i="2"/>
  <c r="L134" i="2"/>
  <c r="L133" i="2"/>
  <c r="W7" i="2" l="1"/>
  <c r="W8" i="2"/>
  <c r="W9" i="2"/>
  <c r="W6" i="2"/>
  <c r="X6" i="2"/>
  <c r="X7" i="2"/>
  <c r="X8" i="2"/>
  <c r="X9" i="2"/>
  <c r="Y6" i="2"/>
  <c r="Y7" i="2"/>
  <c r="Y8" i="2"/>
  <c r="Y9" i="2"/>
  <c r="Z6" i="2"/>
  <c r="Z7" i="2"/>
  <c r="Z8" i="2"/>
  <c r="Z9" i="2"/>
  <c r="AA6" i="2"/>
  <c r="AA7" i="2"/>
  <c r="AA8" i="2"/>
  <c r="AA9" i="2"/>
  <c r="AB6" i="2"/>
  <c r="AB7" i="2"/>
  <c r="AB8" i="2"/>
  <c r="AB9" i="2"/>
  <c r="AC6" i="2"/>
  <c r="AC7" i="2"/>
  <c r="AC8" i="2"/>
  <c r="AC9" i="2"/>
  <c r="B7" i="1" a="1"/>
  <c r="B7" i="1" s="1"/>
  <c r="W366" i="2"/>
  <c r="C7" i="1" a="1"/>
  <c r="C7" i="1" s="1"/>
  <c r="C4" i="2" s="1"/>
  <c r="C110" i="7"/>
  <c r="D110" i="7"/>
  <c r="E110" i="7"/>
  <c r="F110" i="7"/>
  <c r="G110" i="7"/>
  <c r="H110" i="7"/>
  <c r="I110" i="7"/>
  <c r="J110" i="7"/>
  <c r="C111" i="7"/>
  <c r="D111" i="7"/>
  <c r="E111" i="7"/>
  <c r="F111" i="7"/>
  <c r="G111" i="7"/>
  <c r="H111" i="7"/>
  <c r="I111" i="7"/>
  <c r="J111" i="7"/>
  <c r="B110" i="7"/>
  <c r="V7" i="2" l="1"/>
  <c r="V8" i="2"/>
  <c r="V9" i="2"/>
  <c r="V6" i="2"/>
  <c r="B4" i="2"/>
  <c r="M7" i="1"/>
  <c r="AC114" i="2"/>
  <c r="AC113" i="2"/>
  <c r="AB114" i="2"/>
  <c r="AB113" i="2"/>
  <c r="AA114" i="2"/>
  <c r="AA113" i="2"/>
  <c r="Z114" i="2"/>
  <c r="Z113" i="2"/>
  <c r="Y114" i="2"/>
  <c r="Y113" i="2"/>
  <c r="X114" i="2"/>
  <c r="X113" i="2"/>
  <c r="W113" i="2"/>
  <c r="W114" i="2"/>
  <c r="B111" i="7"/>
  <c r="K4" i="2" l="1"/>
  <c r="U6" i="2"/>
  <c r="U7" i="2"/>
  <c r="U9" i="2"/>
  <c r="U8" i="2"/>
  <c r="U113" i="2" s="1"/>
  <c r="V114" i="2"/>
  <c r="V113" i="2"/>
  <c r="K7" i="7" a="1"/>
  <c r="K7" i="7" s="1"/>
  <c r="K6" i="7" a="1"/>
  <c r="K6" i="7" s="1"/>
  <c r="K10" i="7" a="1"/>
  <c r="K10" i="7" s="1"/>
  <c r="L10" i="7" a="1"/>
  <c r="L10" i="7" s="1"/>
  <c r="L11" i="7" a="1"/>
  <c r="L11" i="7" s="1"/>
  <c r="L12" i="7" a="1"/>
  <c r="L12" i="7" s="1"/>
  <c r="K11" i="7" a="1"/>
  <c r="K11" i="7" s="1"/>
  <c r="K12" i="7" a="1"/>
  <c r="K12" i="7" s="1"/>
  <c r="L6" i="7" a="1"/>
  <c r="L6" i="7" s="1"/>
  <c r="L7" i="7" a="1"/>
  <c r="L7" i="7" s="1"/>
  <c r="L8" i="7" a="1"/>
  <c r="L8" i="7" s="1"/>
  <c r="L9" i="7" a="1"/>
  <c r="L9" i="7" s="1"/>
  <c r="K8" i="7" a="1"/>
  <c r="K8" i="7" s="1"/>
  <c r="K9" i="7" a="1"/>
  <c r="K9" i="7" s="1"/>
  <c r="K110" i="7"/>
  <c r="K111" i="7"/>
  <c r="AD6" i="2" a="1"/>
  <c r="AD6" i="2" s="1"/>
  <c r="AD8" i="2" a="1"/>
  <c r="AD8" i="2" s="1"/>
  <c r="AD9" i="2" a="1"/>
  <c r="AD9" i="2" s="1"/>
  <c r="AD7" i="2" l="1" a="1"/>
  <c r="AD7" i="2" s="1"/>
  <c r="U114" i="2"/>
  <c r="AE6" i="2" a="1"/>
  <c r="AE6" i="2" s="1"/>
  <c r="AF6" i="2" s="1"/>
  <c r="L110" i="7"/>
  <c r="L111" i="7"/>
  <c r="M9" i="7"/>
  <c r="M7" i="7"/>
  <c r="M6" i="7"/>
  <c r="AE10" i="2" l="1" a="1"/>
  <c r="AE10" i="2" s="1"/>
  <c r="AF10" i="2" s="1"/>
  <c r="AE8" i="2" a="1"/>
  <c r="AE8" i="2" s="1"/>
  <c r="AF8" i="2" s="1"/>
  <c r="AE9" i="2" a="1"/>
  <c r="AE9" i="2" s="1"/>
  <c r="AF9" i="2" s="1"/>
  <c r="AE7" i="2" a="1"/>
  <c r="AE7" i="2" s="1"/>
  <c r="AF7" i="2"/>
  <c r="M10" i="7"/>
  <c r="M12" i="7"/>
  <c r="M11" i="7"/>
  <c r="M8" i="7"/>
  <c r="N6" i="7" s="1"/>
  <c r="N7" i="7"/>
  <c r="N8" i="7"/>
  <c r="N9" i="7"/>
  <c r="N11" i="7" l="1"/>
  <c r="N12" i="7"/>
  <c r="N10" i="7"/>
  <c r="Q9" i="7"/>
  <c r="P9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6" i="7"/>
  <c r="Q7" i="7"/>
  <c r="Q8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6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7" i="7"/>
  <c r="P8" i="7"/>
  <c r="P6" i="7"/>
  <c r="AE12" i="2"/>
  <c r="AF12" i="2" s="1"/>
  <c r="AE11" i="2"/>
  <c r="AF11" i="2"/>
  <c r="AI6" i="2" s="1" a="1"/>
  <c r="AI6" i="2" s="1"/>
  <c r="AH6" i="2" a="1"/>
  <c r="AH6" i="2"/>
  <c r="AJ6" i="2" a="1"/>
  <c r="AJ6" i="2"/>
  <c r="T6" i="8"/>
  <c r="T7" i="8"/>
  <c r="T8" i="8"/>
  <c r="T9" i="8"/>
  <c r="T10" i="8"/>
  <c r="T11" i="8"/>
  <c r="T12" i="8"/>
  <c r="T14" i="8" l="1"/>
  <c r="U6" i="8" l="1"/>
  <c r="U12" i="8"/>
  <c r="U11" i="8"/>
  <c r="U10" i="8"/>
  <c r="U9" i="8"/>
  <c r="U8" i="8"/>
  <c r="U7" i="8"/>
  <c r="V7" i="8" l="1"/>
  <c r="V8" i="8"/>
  <c r="V9" i="8"/>
  <c r="V10" i="8"/>
  <c r="V11" i="8"/>
  <c r="V12" i="8"/>
  <c r="V6" i="8"/>
  <c r="W6" i="8" s="1" a="1"/>
  <c r="W6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<sst xmlns="http://schemas.openxmlformats.org/spreadsheetml/2006/main" count="261" uniqueCount="144">
  <si>
    <t>MCDM— Données (9 critères)</t>
  </si>
  <si>
    <t>Alternative</t>
  </si>
  <si>
    <t>EF Single score</t>
  </si>
  <si>
    <t>Density (g/cm³)</t>
  </si>
  <si>
    <t>Tensile Modulus (GPa)</t>
  </si>
  <si>
    <t>Tensile Strength (MPa)</t>
  </si>
  <si>
    <t>Elongation at break (%)</t>
  </si>
  <si>
    <t>Flexural modulus (GPa)</t>
  </si>
  <si>
    <t>Flexural strength (MPa)</t>
  </si>
  <si>
    <t>CTE (µm/m·°C)</t>
  </si>
  <si>
    <t>Raw material cost (€/kg)</t>
  </si>
  <si>
    <t>Toggle mode</t>
  </si>
  <si>
    <t>Sens (benefice/cout)</t>
  </si>
  <si>
    <t>cout</t>
  </si>
  <si>
    <t>benefice</t>
  </si>
  <si>
    <t>CRITIC</t>
  </si>
  <si>
    <t>Weight (somme = 1)</t>
  </si>
  <si>
    <t>Somme des poids:</t>
  </si>
  <si>
    <t>Random weight</t>
  </si>
  <si>
    <t>Effective weight</t>
  </si>
  <si>
    <t>Somme des poids ALEA:</t>
  </si>
  <si>
    <t>Flax/Epoxy</t>
  </si>
  <si>
    <t>Carbon/Epoxy</t>
  </si>
  <si>
    <t>Glass/Epoxy</t>
  </si>
  <si>
    <t>Aluminium template</t>
  </si>
  <si>
    <t>Chromium steel template</t>
  </si>
  <si>
    <t>Hemp/Epoxy</t>
  </si>
  <si>
    <t>Jute/epoxy</t>
  </si>
  <si>
    <t>Single Score(mpoints)</t>
  </si>
  <si>
    <t>Acidification (mol H+-Eq)</t>
  </si>
  <si>
    <t>Climate change (kg CO2-Eq)</t>
  </si>
  <si>
    <t>Climate change: biogenic (kg CO2-Eq)</t>
  </si>
  <si>
    <t>Climate change: fossil (kg CO2-Eq)</t>
  </si>
  <si>
    <t>Climate change: land use and land use change (kg CO2-Eq)</t>
  </si>
  <si>
    <t>Ecotoxicity: freshwater (CTUe)</t>
  </si>
  <si>
    <t>Energy resources: non-renewable (MJ, net calorific value)</t>
  </si>
  <si>
    <t>Eutrophication: freshwater (kg P-Eq)</t>
  </si>
  <si>
    <t>Eutrophication: marine (kg N-Eq)</t>
  </si>
  <si>
    <t>Eutrophication: terrestrial (mol N-Eq)</t>
  </si>
  <si>
    <t>Human toxicity: carcinogenic (CTUh)</t>
  </si>
  <si>
    <t>Human toxicity: non-carcinogenic (CTUh)</t>
  </si>
  <si>
    <t>Ionising radiation: human health (kBq U235-Eq)</t>
  </si>
  <si>
    <t>Land use (dimensionless)</t>
  </si>
  <si>
    <t>Material resources: metals/minerals (kg Sb-Eq)</t>
  </si>
  <si>
    <t>Ozone depletion (kg CFC-11-Eq)</t>
  </si>
  <si>
    <t>Particulate matter formation (disease incidence)</t>
  </si>
  <si>
    <t>Photochemical oxidant formation: human health (kg NMVOC-Eq)</t>
  </si>
  <si>
    <t>Water use (m3 world Eq deprived)</t>
  </si>
  <si>
    <t>Aluminium 1kg</t>
  </si>
  <si>
    <t>Jute/Epoxy</t>
  </si>
  <si>
    <t>Steel template</t>
  </si>
  <si>
    <t>Impact categories</t>
  </si>
  <si>
    <t>Aluminium</t>
  </si>
  <si>
    <t>Normalisation factor per persona</t>
  </si>
  <si>
    <t>Ponderation factor</t>
  </si>
  <si>
    <t xml:space="preserve">Single score </t>
  </si>
  <si>
    <t>Calcul TOPSIS</t>
  </si>
  <si>
    <t>Sens</t>
  </si>
  <si>
    <t>Virer elongation des critères ou mettre en contrainte plutôt et checker les besoins, limites pour uen pièce.</t>
  </si>
  <si>
    <t>Poids</t>
  </si>
  <si>
    <t>Normalisation R</t>
  </si>
  <si>
    <t>Pondération V</t>
  </si>
  <si>
    <t>R: EF</t>
  </si>
  <si>
    <t>R: Density</t>
  </si>
  <si>
    <t>R: E</t>
  </si>
  <si>
    <t>R: σt</t>
  </si>
  <si>
    <t>R: εt</t>
  </si>
  <si>
    <t>R: Eflex</t>
  </si>
  <si>
    <t>R: σflex</t>
  </si>
  <si>
    <t>R: CTE</t>
  </si>
  <si>
    <t>R: Cost</t>
  </si>
  <si>
    <t>V: EF</t>
  </si>
  <si>
    <t>V: Density</t>
  </si>
  <si>
    <t>V: E</t>
  </si>
  <si>
    <t>V: σt</t>
  </si>
  <si>
    <t>V: εt</t>
  </si>
  <si>
    <t>V: Eflex</t>
  </si>
  <si>
    <t>V: σflex</t>
  </si>
  <si>
    <t>V: CTE</t>
  </si>
  <si>
    <t>V: Cost</t>
  </si>
  <si>
    <t>S+ (distance à A+)</t>
  </si>
  <si>
    <t>S- (distance à A-)</t>
  </si>
  <si>
    <t>Score C = S-/(S++S-)</t>
  </si>
  <si>
    <t>Classement automatique</t>
  </si>
  <si>
    <t>Score C</t>
  </si>
  <si>
    <t>Rang</t>
  </si>
  <si>
    <t>A+ / A- par critère</t>
  </si>
  <si>
    <t>A+</t>
  </si>
  <si>
    <t>A-</t>
  </si>
  <si>
    <t>CRITIC Weighting</t>
  </si>
  <si>
    <t>Standard deviation per criterion (dispersion 𝜎𝑗)</t>
  </si>
  <si>
    <t>Matrice de corrélation</t>
  </si>
  <si>
    <t>Criteria 1</t>
  </si>
  <si>
    <t>Criteria 2</t>
  </si>
  <si>
    <t>Criteria 3</t>
  </si>
  <si>
    <t>Criteria 4</t>
  </si>
  <si>
    <t>Criteria 5</t>
  </si>
  <si>
    <t>Criteria 6</t>
  </si>
  <si>
    <t>Criteria 7</t>
  </si>
  <si>
    <t>Criteria 8</t>
  </si>
  <si>
    <t>Criteria 9</t>
  </si>
  <si>
    <t>j</t>
  </si>
  <si>
    <t>Sj​=∑k​(1−ρjk​)</t>
  </si>
  <si>
    <t>CRITIC information Cj​=σj​⋅Sj​</t>
  </si>
  <si>
    <t>Normalized weights wj​=Cj​/∑Cj​</t>
  </si>
  <si>
    <t>ENTROPY Weighting</t>
  </si>
  <si>
    <t>Identify 𝑓𝑗∗(best)</t>
  </si>
  <si>
    <t>Identify 𝑓𝑗-(worst)</t>
  </si>
  <si>
    <t>Somme</t>
  </si>
  <si>
    <t>Matrice normalisée</t>
  </si>
  <si>
    <t>pondération etc dispo sur !DATA</t>
  </si>
  <si>
    <t>Alternatives</t>
  </si>
  <si>
    <t>Sᵢ (utilité globale)</t>
  </si>
  <si>
    <t>Rᵢ (regret individuel)</t>
  </si>
  <si>
    <t>Qᵢ (indice de compromis)</t>
  </si>
  <si>
    <t>Classement final</t>
  </si>
  <si>
    <t>Score Q</t>
  </si>
  <si>
    <t>Détermination des valeurs idéales f*</t>
  </si>
  <si>
    <t>f−</t>
  </si>
  <si>
    <t>Normalisation ARAS</t>
  </si>
  <si>
    <t>Pondération des critères</t>
  </si>
  <si>
    <t>Coefficient d’utilité Ki</t>
  </si>
  <si>
    <t>Classement auto</t>
  </si>
  <si>
    <t>Coefficient K</t>
  </si>
  <si>
    <t>Solution optimale S0</t>
  </si>
  <si>
    <t>Result ranking matrix</t>
  </si>
  <si>
    <t>METHODS</t>
  </si>
  <si>
    <t>Materials</t>
  </si>
  <si>
    <t>CRITIC-TOPSIS</t>
  </si>
  <si>
    <t>CRITIC-VIKOR</t>
  </si>
  <si>
    <t>CRITIC-ARAS</t>
  </si>
  <si>
    <t>ENTROPY-TOPSIS</t>
  </si>
  <si>
    <t>ENTROPY-VIKOR</t>
  </si>
  <si>
    <t>ENTROPY-ARAS</t>
  </si>
  <si>
    <t>Rang Moyen</t>
  </si>
  <si>
    <t>Ecart-type</t>
  </si>
  <si>
    <t>Rang de stabilité</t>
  </si>
  <si>
    <t>RIi​ (indice robustesse =1 optimal)</t>
  </si>
  <si>
    <t xml:space="preserve">CR-TOP </t>
  </si>
  <si>
    <t xml:space="preserve"> CR-VIK </t>
  </si>
  <si>
    <t xml:space="preserve"> CR-ARAS </t>
  </si>
  <si>
    <t xml:space="preserve"> EN-TOP </t>
  </si>
  <si>
    <t xml:space="preserve"> EN-VIK </t>
  </si>
  <si>
    <t xml:space="preserve"> EN-ARAS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</si>
</sst>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1" fontId="0" fillId="0" borderId="0" xfId="0" applyNumberFormat="1"/>
    <xf numFmtId="0" fontId="2" fillId="0" borderId="0" xfId="0" applyFont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 vertical="center"/>
    </xf>
    <xf numFmtId="11" fontId="0" fillId="0" borderId="0" xfId="0" applyNumberFormat="1" applyAlignment="1">
      <alignment horizontal="left" vertical="top"/>
    </xf>
    <xf numFmtId="11" fontId="0" fillId="0" borderId="0" xfId="0" applyNumberFormat="1" applyAlignment="1">
      <alignment horizontal="left" vertical="top" wrapText="1"/>
    </xf>
    <xf numFmtId="164" fontId="0" fillId="0" borderId="0" xfId="0" applyNumberFormat="1"/>
    <xf numFmtId="0" fontId="0" fillId="4" borderId="0" xfId="0" applyFill="1"/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vertical="center"/>
    </xf>
    <xf numFmtId="0" fontId="2" fillId="5" borderId="0" xfId="0" applyFont="1" applyFill="1"/>
    <xf numFmtId="2" fontId="0" fillId="0" borderId="0" xfId="0" applyNumberFormat="1" applyAlignment="1">
      <alignment horizontal="center"/>
    </xf>
    <xf numFmtId="0" fontId="2" fillId="5" borderId="0" xfId="0" applyFont="1" applyFill="1" applyAlignment="1">
      <alignment wrapText="1"/>
    </xf>
    <xf numFmtId="165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847725</xdr:colOff>
      <xdr:row>0</xdr:row>
      <xdr:rowOff>66675</xdr:rowOff>
    </xdr:from>
    <xdr:to>
      <xdr:col>12</xdr:col>
      <xdr:colOff>142875</xdr:colOff>
      <xdr:row>2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BD1304F-277C-D333-0F9D-9BCFE26B6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11700" y="66675"/>
          <a:ext cx="771525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247650</xdr:colOff>
      <xdr:row>0</xdr:row>
      <xdr:rowOff>85725</xdr:rowOff>
    </xdr:from>
    <xdr:to>
      <xdr:col>14</xdr:col>
      <xdr:colOff>619125</xdr:colOff>
      <xdr:row>2</xdr:row>
      <xdr:rowOff>123825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2C51685-0AF0-D0CE-1BB4-90A43C5E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500" y="85725"/>
          <a:ext cx="1209675" cy="495300"/>
        </a:xfrm>
        <a:prstGeom prst="rect">
          <a:avLst/>
        </a:prstGeom>
      </xdr:spPr>
    </xdr:pic>
    <xdr:clientData/>
  </xdr:twoCellAnchor>
  <xdr:twoCellAnchor editAs="oneCell">
    <xdr:from>
      <xdr:col>22</xdr:col>
      <xdr:colOff>161925</xdr:colOff>
      <xdr:row>0</xdr:row>
      <xdr:rowOff>171450</xdr:rowOff>
    </xdr:from>
    <xdr:to>
      <xdr:col>24</xdr:col>
      <xdr:colOff>371475</xdr:colOff>
      <xdr:row>2</xdr:row>
      <xdr:rowOff>114300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77DADA8-C99D-D4CA-4C26-A4B8CC5B8CF7}"/>
            </a:ext>
            <a:ext uri="{147F2762-F138-4A5C-976F-8EAC2B608ADB}">
              <a16:predDERef xmlns:a16="http://schemas.microsoft.com/office/drawing/2014/main" pred="{02C51685-0AF0-D0CE-1BB4-90A43C5E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36375" y="171450"/>
          <a:ext cx="1428750" cy="400050"/>
        </a:xfrm>
        <a:prstGeom prst="rect">
          <a:avLst/>
        </a:prstGeom>
      </xdr:spPr>
    </xdr:pic>
    <xdr:clientData/>
  </xdr:twoCellAnchor>
  <xdr:twoCellAnchor editAs="oneCell">
    <xdr:from>
      <xdr:col>7</xdr:col>
      <xdr:colOff>1190625</xdr:colOff>
      <xdr:row>108</xdr:row>
      <xdr:rowOff>0</xdr:rowOff>
    </xdr:from>
    <xdr:to>
      <xdr:col>10</xdr:col>
      <xdr:colOff>876300</xdr:colOff>
      <xdr:row>117</xdr:row>
      <xdr:rowOff>38100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99EE628-548E-06FC-F11B-4053408D0546}"/>
            </a:ext>
            <a:ext uri="{147F2762-F138-4A5C-976F-8EAC2B608ADB}">
              <a16:predDERef xmlns:a16="http://schemas.microsoft.com/office/drawing/2014/main" pred="{577DADA8-C99D-D4CA-4C26-A4B8CC5B8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58425" y="20650200"/>
          <a:ext cx="4572000" cy="1752600"/>
        </a:xfrm>
        <a:prstGeom prst="rect">
          <a:avLst/>
        </a:prstGeom>
      </xdr:spPr>
    </xdr:pic>
    <xdr:clientData/>
  </xdr:twoCellAnchor>
  <xdr:twoCellAnchor editAs="oneCell">
    <xdr:from>
      <xdr:col>28</xdr:col>
      <xdr:colOff>371475</xdr:colOff>
      <xdr:row>0</xdr:row>
      <xdr:rowOff>85725</xdr:rowOff>
    </xdr:from>
    <xdr:to>
      <xdr:col>31</xdr:col>
      <xdr:colOff>85725</xdr:colOff>
      <xdr:row>2</xdr:row>
      <xdr:rowOff>142875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A08821A-A2D2-F3CB-9E5D-E8D08B96A8BF}"/>
            </a:ext>
            <a:ext uri="{147F2762-F138-4A5C-976F-8EAC2B608ADB}">
              <a16:predDERef xmlns:a16="http://schemas.microsoft.com/office/drawing/2014/main" pred="{C99EE628-548E-06FC-F11B-4053408D0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203525" y="85725"/>
          <a:ext cx="2476500" cy="514350"/>
        </a:xfrm>
        <a:prstGeom prst="rect">
          <a:avLst/>
        </a:prstGeom>
      </xdr:spPr>
    </xdr:pic>
    <xdr:clientData/>
  </xdr:twoCellAnchor>
  <xdr:twoCellAnchor editAs="oneCell">
    <xdr:from>
      <xdr:col>31</xdr:col>
      <xdr:colOff>95250</xdr:colOff>
      <xdr:row>0</xdr:row>
      <xdr:rowOff>114300</xdr:rowOff>
    </xdr:from>
    <xdr:to>
      <xdr:col>32</xdr:col>
      <xdr:colOff>28575</xdr:colOff>
      <xdr:row>2</xdr:row>
      <xdr:rowOff>152400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319575FE-09C4-CD87-AB0E-5E33EDC295D5}"/>
            </a:ext>
            <a:ext uri="{147F2762-F138-4A5C-976F-8EAC2B608ADB}">
              <a16:predDERef xmlns:a16="http://schemas.microsoft.com/office/drawing/2014/main" pred="{5A08821A-A2D2-F3CB-9E5D-E8D08B96A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689550" y="114300"/>
          <a:ext cx="1143000" cy="495300"/>
        </a:xfrm>
        <a:prstGeom prst="rect">
          <a:avLst/>
        </a:prstGeom>
      </xdr:spPr>
    </xdr:pic>
    <xdr:clientData/>
  </xdr:twoCellAnchor>
  <xdr:twoCellAnchor editAs="oneCell">
    <xdr:from>
      <xdr:col>33</xdr:col>
      <xdr:colOff>695325</xdr:colOff>
      <xdr:row>0</xdr:row>
      <xdr:rowOff>171450</xdr:rowOff>
    </xdr:from>
    <xdr:to>
      <xdr:col>35</xdr:col>
      <xdr:colOff>476250</xdr:colOff>
      <xdr:row>2</xdr:row>
      <xdr:rowOff>133350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F5D8A9B1-CCAC-3B20-A80E-237BC6041BA0}"/>
            </a:ext>
            <a:ext uri="{147F2762-F138-4A5C-976F-8EAC2B608ADB}">
              <a16:predDERef xmlns:a16="http://schemas.microsoft.com/office/drawing/2014/main" pred="{319575FE-09C4-CD87-AB0E-5E33EDC29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108900" y="171450"/>
          <a:ext cx="2362200" cy="419100"/>
        </a:xfrm>
        <a:prstGeom prst="rect">
          <a:avLst/>
        </a:prstGeom>
      </xdr:spPr>
    </xdr:pic>
    <xdr:clientData/>
  </xdr:twoCellAnchor>
  <xdr:twoCellAnchor editAs="oneCell">
    <xdr:from>
      <xdr:col>7</xdr:col>
      <xdr:colOff>790575</xdr:colOff>
      <xdr:row>123</xdr:row>
      <xdr:rowOff>123825</xdr:rowOff>
    </xdr:from>
    <xdr:to>
      <xdr:col>10</xdr:col>
      <xdr:colOff>476250</xdr:colOff>
      <xdr:row>128</xdr:row>
      <xdr:rowOff>180975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C82D6693-6BEA-B5A8-7BE8-30D1B7443354}"/>
            </a:ext>
            <a:ext uri="{147F2762-F138-4A5C-976F-8EAC2B608ADB}">
              <a16:predDERef xmlns:a16="http://schemas.microsoft.com/office/drawing/2014/main" pred="{F5D8A9B1-CCAC-3B20-A80E-237BC6041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58375" y="23850600"/>
          <a:ext cx="4572000" cy="10096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360</xdr:row>
      <xdr:rowOff>47625</xdr:rowOff>
    </xdr:from>
    <xdr:to>
      <xdr:col>10</xdr:col>
      <xdr:colOff>485775</xdr:colOff>
      <xdr:row>362</xdr:row>
      <xdr:rowOff>47625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A486611A-97A0-8AD5-635C-E3A1196BA8BC}"/>
            </a:ext>
            <a:ext uri="{147F2762-F138-4A5C-976F-8EAC2B608ADB}">
              <a16:predDERef xmlns:a16="http://schemas.microsoft.com/office/drawing/2014/main" pred="{7EA07638-DB5A-F0E2-9986-E0F44F8FA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954125" y="35585400"/>
          <a:ext cx="485775" cy="38100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362</xdr:row>
      <xdr:rowOff>114300</xdr:rowOff>
    </xdr:from>
    <xdr:to>
      <xdr:col>10</xdr:col>
      <xdr:colOff>533400</xdr:colOff>
      <xdr:row>364</xdr:row>
      <xdr:rowOff>123825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BF1AC351-D094-6545-D82F-DDB39954D001}"/>
            </a:ext>
            <a:ext uri="{147F2762-F138-4A5C-976F-8EAC2B608ADB}">
              <a16:predDERef xmlns:a16="http://schemas.microsoft.com/office/drawing/2014/main" pred="{A486611A-97A0-8AD5-635C-E3A1196BA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715625" y="36033075"/>
          <a:ext cx="3771900" cy="39052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364</xdr:row>
      <xdr:rowOff>152400</xdr:rowOff>
    </xdr:from>
    <xdr:to>
      <xdr:col>10</xdr:col>
      <xdr:colOff>666750</xdr:colOff>
      <xdr:row>367</xdr:row>
      <xdr:rowOff>133350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4C942C53-849D-AA7E-853E-D58C5B99B93F}"/>
            </a:ext>
            <a:ext uri="{147F2762-F138-4A5C-976F-8EAC2B608ADB}">
              <a16:predDERef xmlns:a16="http://schemas.microsoft.com/office/drawing/2014/main" pred="{BF1AC351-D094-6545-D82F-DDB39954D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82275" y="54930675"/>
          <a:ext cx="4038600" cy="552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E1BE2-A76A-49D0-A396-94134E7885DC}" name="Tableau1" displayName="Tableau1" ref="L122:T131" totalsRowShown="0">
  <autoFilter ref="L122:T131" xr:uid="{C23E1BE2-A76A-49D0-A396-94134E7885DC}"/>
  <tableColumns count="9">
    <tableColumn id="1" xr3:uid="{4FA64F5D-9310-40C3-B4A8-E01EE8EC0DEC}" name="Criteria 1" dataDxfId="1">
      <calculatedColumnFormula array="1">CORREL(IF($A$6:$A$105&lt;&gt;"", INDEX($L$6:$T$105, 0, ROW()-122)),IF($A$6:$A$105&lt;&gt;"", INDEX($L$6:$T$105, 0, COLUMN()-COLUMN($L$123)+1))
)</calculatedColumnFormula>
    </tableColumn>
    <tableColumn id="2" xr3:uid="{25C6930C-78EF-4768-8AD2-A017D6E4FDC6}" name="Criteria 2" dataDxfId="0">
      <calculatedColumnFormula array="1">CORREL(IF($A$6:$A$105&lt;&gt;"", INDEX($L$6:$T$105, 0, ROW()-122)),IF($A$6:$A$105&lt;&gt;"", INDEX($L$6:$T$105, 0, COLUMN()-COLUMN($L$123)+1))
)</calculatedColumnFormula>
    </tableColumn>
    <tableColumn id="3" xr3:uid="{0E252655-84AB-460A-9DFB-BA959897766D}" name="Criteria 3">
      <calculatedColumnFormula array="1">CORREL(IF($A$6:$A$105&lt;&gt;"", INDEX($L$6:$T$105, 0, ROW()-122)),IF($A$6:$A$105&lt;&gt;"", INDEX($L$6:$T$105, 0, COLUMN()-COLUMN($L$123)+1))
)</calculatedColumnFormula>
    </tableColumn>
    <tableColumn id="4" xr3:uid="{7B4842B0-682F-4E33-B536-B282FF461402}" name="Criteria 4">
      <calculatedColumnFormula array="1">CORREL(IF($A$6:$A$105&lt;&gt;"", INDEX($L$6:$T$105, 0, ROW()-122)),IF($A$6:$A$105&lt;&gt;"", INDEX($L$6:$T$105, 0, COLUMN()-COLUMN($L$123)+1))
)</calculatedColumnFormula>
    </tableColumn>
    <tableColumn id="5" xr3:uid="{D24392CC-5E0B-45DD-9BC3-E61089FF5402}" name="Criteria 5">
      <calculatedColumnFormula array="1">CORREL(IF($A$6:$A$105&lt;&gt;"", INDEX($L$6:$T$105, 0, ROW()-122)),IF($A$6:$A$105&lt;&gt;"", INDEX($L$6:$T$105, 0, COLUMN()-COLUMN($L$123)+1))
)</calculatedColumnFormula>
    </tableColumn>
    <tableColumn id="6" xr3:uid="{586F780A-EBB6-4DCD-837C-4ED3C81F3B2E}" name="Criteria 6">
      <calculatedColumnFormula array="1">CORREL(IF($A$6:$A$105&lt;&gt;"", INDEX($L$6:$T$105, 0, ROW()-122)),IF($A$6:$A$105&lt;&gt;"", INDEX($L$6:$T$105, 0, COLUMN()-COLUMN($L$123)+1))
)</calculatedColumnFormula>
    </tableColumn>
    <tableColumn id="7" xr3:uid="{8433F3F2-F1BC-4222-893E-38BEFFEDC540}" name="Criteria 7">
      <calculatedColumnFormula array="1">CORREL(IF($A$6:$A$105&lt;&gt;"", INDEX($L$6:$T$105, 0, ROW()-122)),IF($A$6:$A$105&lt;&gt;"", INDEX($L$6:$T$105, 0, COLUMN()-COLUMN($L$123)+1))
)</calculatedColumnFormula>
    </tableColumn>
    <tableColumn id="8" xr3:uid="{80523BCF-801D-4275-92ED-D46D72C54CC7}" name="Criteria 8">
      <calculatedColumnFormula array="1">CORREL(IF($A$6:$A$105&lt;&gt;"", INDEX($L$6:$T$105, 0, ROW()-122)),IF($A$6:$A$105&lt;&gt;"", INDEX($L$6:$T$105, 0, COLUMN()-COLUMN($L$123)+1))
)</calculatedColumnFormula>
    </tableColumn>
    <tableColumn id="9" xr3:uid="{C442B626-408A-433A-BD11-BF5FCEC75A60}" name="Criteria 9">
      <calculatedColumnFormula array="1">CORREL(IF($A$6:$A$105&lt;&gt;"", INDEX($L$6:$T$105, 0, ROW()-122)),IF($A$6:$A$105&lt;&gt;"", INDEX($L$6:$T$105, 0, COLUMN()-COLUMN($L$123)+1))
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pane xSplit="1" ySplit="7" topLeftCell="B8" activePane="bottomRight" state="frozen"/>
      <selection pane="bottomRight" activeCell="F34" sqref="F33:F34"/>
      <selection pane="bottomLeft" activeCell="A6" sqref="A6"/>
      <selection pane="topRight" activeCell="B1" sqref="B1"/>
    </sheetView>
  </sheetViews>
  <sheetFormatPr defaultColWidth="9.140625" defaultRowHeight="15"/>
  <cols>
    <col min="1" max="1" width="28.7109375" customWidth="1"/>
    <col min="2" max="8" width="22.7109375" customWidth="1"/>
    <col min="9" max="9" width="28.85546875" bestFit="1" customWidth="1"/>
    <col min="10" max="10" width="22.7109375" customWidth="1"/>
    <col min="11" max="11" width="12.28515625" bestFit="1" customWidth="1"/>
    <col min="12" max="12" width="22.140625" bestFit="1" customWidth="1"/>
  </cols>
  <sheetData>
    <row r="1" spans="1:13" ht="2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</row>
    <row r="2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>
      <c r="A3" t="s">
        <v>12</v>
      </c>
      <c r="B3" t="s">
        <v>13</v>
      </c>
      <c r="C3" t="s">
        <v>13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13</v>
      </c>
      <c r="J3" t="s">
        <v>13</v>
      </c>
      <c r="K3" t="s">
        <v>15</v>
      </c>
    </row>
    <row r="4" spans="1:13">
      <c r="A4" t="s">
        <v>16</v>
      </c>
      <c r="B4">
        <v>0.11111</v>
      </c>
      <c r="C4">
        <v>0.11111</v>
      </c>
      <c r="D4">
        <v>0.11111</v>
      </c>
      <c r="E4">
        <v>0.11111</v>
      </c>
      <c r="F4">
        <v>0.11111</v>
      </c>
      <c r="G4">
        <v>0.11111</v>
      </c>
      <c r="H4">
        <v>0.11111</v>
      </c>
      <c r="I4">
        <v>0.11111</v>
      </c>
      <c r="J4">
        <v>0.11111</v>
      </c>
      <c r="L4" s="2" t="s">
        <v>17</v>
      </c>
      <c r="M4">
        <f>SUM(B4:J4)</f>
        <v>0.99999000000000016</v>
      </c>
    </row>
    <row r="5" spans="1:13">
      <c r="L5" s="2"/>
    </row>
    <row r="6" spans="1:13">
      <c r="A6" t="s">
        <v>18</v>
      </c>
      <c r="B6" t="e">
        <f ca="1">RAND()+0*MATCH($K$3,{"MANUEL","ALEA"},0)</f>
        <v>#N/A</v>
      </c>
      <c r="C6" t="e">
        <f ca="1">RAND()+0*MATCH($K$3,{"MANUEL","ALEA"},0)</f>
        <v>#N/A</v>
      </c>
      <c r="D6" t="e">
        <f ca="1">RAND()+0*MATCH($K$3,{"MANUEL","ALEA"},0)</f>
        <v>#N/A</v>
      </c>
      <c r="E6" t="e">
        <f ca="1">RAND()+0*MATCH($K$3,{"MANUEL","ALEA"},0)</f>
        <v>#N/A</v>
      </c>
      <c r="F6" t="e">
        <f ca="1">RAND()+0*MATCH($K$3,{"MANUEL","ALEA"},0)</f>
        <v>#N/A</v>
      </c>
      <c r="G6" t="e">
        <f ca="1">RAND()+0*MATCH($K$3,{"MANUEL","ALEA"},0)</f>
        <v>#N/A</v>
      </c>
      <c r="H6" t="e">
        <f ca="1">RAND()+0*MATCH($K$3,{"MANUEL","ALEA"},0)</f>
        <v>#N/A</v>
      </c>
      <c r="I6" t="e">
        <f ca="1">RAND()+0*MATCH($K$3,{"MANUEL","ALEA"},0)</f>
        <v>#N/A</v>
      </c>
      <c r="J6" t="e">
        <f ca="1">RAND()+0*MATCH($K$3,{"MANUEL","ALEA"},0)</f>
        <v>#N/A</v>
      </c>
      <c r="L6" s="2"/>
    </row>
    <row r="7" spans="1:13">
      <c r="A7" t="s">
        <v>19</v>
      </c>
      <c r="B7" s="19" cm="1">
        <f t="array" ref="B7">IF($K$3="ALEA",B6/SUM($B$6:$J$6),
IF($K$3="CRITIC",INDEX(TOPSIS!$L$134:$T$134,1,COLUMN()-1),
IF($K$3="ENTROPY",INDEX(TOPSIS!$L$366:$T$366,1,COLUMN()-1),
B4)))</f>
        <v>0.10360018488752755</v>
      </c>
      <c r="C7" cm="1">
        <f t="array" ref="C7">IF($K$3="ALEA",C6/SUM($B$6:$J$6),
IF($K$3="CRITIC",INDEX(TOPSIS!$L$134:$T$134,1,COLUMN()-1),
IF($K$3="ENTROPY",INDEX(TOPSIS!$L$366:$T$366,1,COLUMN()-1),
C4)))</f>
        <v>0.1068127462358406</v>
      </c>
      <c r="D7" cm="1">
        <f t="array" ref="D7">IF($K$3="ALEA",D6/SUM($B$6:$J$6),
IF($K$3="CRITIC",INDEX(TOPSIS!$L$134:$T$134,1,COLUMN()-1),
IF($K$3="ENTROPY",INDEX(TOPSIS!$L$366:$T$366,1,COLUMN()-1),
D4)))</f>
        <v>7.9132717070794265E-2</v>
      </c>
      <c r="E7" cm="1">
        <f t="array" ref="E7">IF($K$3="ALEA",E6/SUM($B$6:$J$6),
IF($K$3="CRITIC",INDEX(TOPSIS!$L$134:$T$134,1,COLUMN()-1),
IF($K$3="ENTROPY",INDEX(TOPSIS!$L$366:$T$366,1,COLUMN()-1),
E4)))</f>
        <v>9.7058973254572439E-2</v>
      </c>
      <c r="F7" cm="1">
        <f t="array" ref="F7">IF($K$3="ALEA",F6/SUM($B$6:$J$6),
IF($K$3="CRITIC",INDEX(TOPSIS!$L$134:$T$134,1,COLUMN()-1),
IF($K$3="ENTROPY",INDEX(TOPSIS!$L$366:$T$366,1,COLUMN()-1),
F4)))</f>
        <v>0.10913698182257225</v>
      </c>
      <c r="G7" cm="1">
        <f t="array" ref="G7">IF($K$3="ALEA",G6/SUM($B$6:$J$6),
IF($K$3="CRITIC",INDEX(TOPSIS!$L$134:$T$134,1,COLUMN()-1),
IF($K$3="ENTROPY",INDEX(TOPSIS!$L$366:$T$366,1,COLUMN()-1),
G4)))</f>
        <v>7.7157486053399893E-2</v>
      </c>
      <c r="H7" cm="1">
        <f t="array" ref="H7">IF($K$3="ALEA",H6/SUM($B$6:$J$6),
IF($K$3="CRITIC",INDEX(TOPSIS!$L$134:$T$134,1,COLUMN()-1),
IF($K$3="ENTROPY",INDEX(TOPSIS!$L$366:$T$366,1,COLUMN()-1),
H4)))</f>
        <v>8.7306731995283063E-2</v>
      </c>
      <c r="I7" cm="1">
        <f t="array" ref="I7">IF($K$3="ALEA",I6/SUM($B$6:$J$6),
IF($K$3="CRITIC",INDEX(TOPSIS!$L$134:$T$134,1,COLUMN()-1),
IF($K$3="ENTROPY",INDEX(TOPSIS!$L$366:$T$366,1,COLUMN()-1),
I4)))</f>
        <v>0.22601941403203732</v>
      </c>
      <c r="J7" cm="1">
        <f t="array" ref="J7">IF($K$3="ALEA",J6/SUM($B$6:$J$6),
IF($K$3="CRITIC",INDEX(TOPSIS!$L$134:$T$134,1,COLUMN()-1),
IF($K$3="ENTROPY",INDEX(TOPSIS!$L$366:$T$366,1,COLUMN()-1),
J4)))</f>
        <v>0.11377476464797265</v>
      </c>
      <c r="L7" s="2" t="s">
        <v>20</v>
      </c>
      <c r="M7">
        <f>SUM(B7:J7)</f>
        <v>1</v>
      </c>
    </row>
    <row r="8" spans="1:13" s="9" customFormat="1">
      <c r="A8" s="9" t="s">
        <v>21</v>
      </c>
      <c r="B8" s="9">
        <f>ROUND('LCA Criteria'!I33,2)</f>
        <v>0.59</v>
      </c>
      <c r="C8" s="3">
        <v>1.35</v>
      </c>
      <c r="D8" s="3">
        <v>35</v>
      </c>
      <c r="E8" s="3">
        <v>610</v>
      </c>
      <c r="F8" s="3">
        <v>1.8</v>
      </c>
      <c r="G8" s="3">
        <v>39</v>
      </c>
      <c r="H8" s="3">
        <v>520</v>
      </c>
      <c r="I8" s="15">
        <f>20*10^-6</f>
        <v>1.9999999999999998E-5</v>
      </c>
      <c r="J8" s="3">
        <v>3.8</v>
      </c>
    </row>
    <row r="9" spans="1:13" s="9" customFormat="1">
      <c r="A9" s="9" t="s">
        <v>22</v>
      </c>
      <c r="B9" s="9">
        <f>ROUND('LCA Criteria'!J33,2)</f>
        <v>4.9800000000000004</v>
      </c>
      <c r="C9" s="3">
        <v>1.42</v>
      </c>
      <c r="D9" s="3">
        <v>120</v>
      </c>
      <c r="E9" s="3">
        <v>2135</v>
      </c>
      <c r="F9" s="3">
        <v>1.1499999999999999</v>
      </c>
      <c r="G9" s="3">
        <v>134</v>
      </c>
      <c r="H9" s="3">
        <v>1815</v>
      </c>
      <c r="I9" s="15">
        <f>2.98*10^-6</f>
        <v>2.9799999999999998E-6</v>
      </c>
      <c r="J9" s="3">
        <v>20</v>
      </c>
    </row>
    <row r="10" spans="1:13" s="9" customFormat="1">
      <c r="A10" s="9" t="s">
        <v>23</v>
      </c>
      <c r="B10" s="9">
        <f>ROUND('LCA Criteria'!K33,2)</f>
        <v>0.69</v>
      </c>
      <c r="C10" s="3">
        <v>1.8</v>
      </c>
      <c r="D10" s="3">
        <v>40</v>
      </c>
      <c r="E10" s="3">
        <v>1135</v>
      </c>
      <c r="F10" s="3">
        <v>1.3</v>
      </c>
      <c r="G10" s="3">
        <v>43</v>
      </c>
      <c r="H10" s="3">
        <v>965</v>
      </c>
      <c r="I10" s="16">
        <f>35*10^-6</f>
        <v>3.4999999999999997E-5</v>
      </c>
      <c r="J10" s="3">
        <v>4</v>
      </c>
    </row>
    <row r="11" spans="1:13" s="9" customFormat="1">
      <c r="A11" s="9" t="s">
        <v>24</v>
      </c>
      <c r="B11" s="9">
        <f>ROUND('LCA Criteria'!L33,2)</f>
        <v>1.58</v>
      </c>
      <c r="C11" s="3">
        <v>2.7</v>
      </c>
      <c r="D11" s="3">
        <v>70</v>
      </c>
      <c r="E11" s="3">
        <v>330</v>
      </c>
      <c r="F11" s="3">
        <v>3.4</v>
      </c>
      <c r="G11" s="3">
        <v>70</v>
      </c>
      <c r="H11" s="3">
        <v>325</v>
      </c>
      <c r="I11" s="15">
        <f>23*10^-6</f>
        <v>2.3E-5</v>
      </c>
      <c r="J11" s="3">
        <v>10</v>
      </c>
    </row>
    <row r="12" spans="1:13">
      <c r="A12" t="s">
        <v>25</v>
      </c>
      <c r="B12" s="9">
        <f>ROUND('LCA Criteria'!M33,2)</f>
        <v>0.77</v>
      </c>
      <c r="C12" s="4">
        <v>7.9</v>
      </c>
      <c r="D12" s="4">
        <v>200</v>
      </c>
      <c r="E12" s="4">
        <v>750</v>
      </c>
      <c r="F12" s="4">
        <v>40</v>
      </c>
      <c r="G12" s="4">
        <v>200</v>
      </c>
      <c r="H12" s="4">
        <v>900</v>
      </c>
      <c r="I12" s="15">
        <f>17*10^-6</f>
        <v>1.7E-5</v>
      </c>
      <c r="J12" s="4">
        <v>2.5</v>
      </c>
    </row>
    <row r="13" spans="1:13">
      <c r="A13" t="s">
        <v>26</v>
      </c>
      <c r="B13" s="9">
        <f>ROUND('LCA Criteria'!N33,2)</f>
        <v>0.55000000000000004</v>
      </c>
      <c r="C13" s="4">
        <v>1.31</v>
      </c>
      <c r="D13" s="4">
        <v>28</v>
      </c>
      <c r="E13" s="4">
        <v>398</v>
      </c>
      <c r="F13" s="4">
        <v>2</v>
      </c>
      <c r="G13" s="4">
        <v>32</v>
      </c>
      <c r="H13" s="4">
        <v>340</v>
      </c>
      <c r="I13" s="15">
        <f>25*10^-6</f>
        <v>2.4999999999999998E-5</v>
      </c>
      <c r="J13" s="4">
        <v>4</v>
      </c>
    </row>
    <row r="14" spans="1:13">
      <c r="A14" t="s">
        <v>27</v>
      </c>
      <c r="B14" s="9">
        <f>ROUND('LCA Criteria'!O33,2)</f>
        <v>0.56999999999999995</v>
      </c>
      <c r="C14" s="4">
        <v>1.3</v>
      </c>
      <c r="D14" s="4">
        <v>12</v>
      </c>
      <c r="E14" s="4">
        <v>335</v>
      </c>
      <c r="F14" s="4">
        <v>2.5</v>
      </c>
      <c r="G14" s="4">
        <v>13</v>
      </c>
      <c r="H14" s="4">
        <v>285</v>
      </c>
      <c r="I14" s="15">
        <f>30*10^-6</f>
        <v>2.9999999999999997E-5</v>
      </c>
      <c r="J14" s="4">
        <v>3</v>
      </c>
    </row>
    <row r="15" spans="1:13">
      <c r="C15" s="4"/>
      <c r="D15" s="4"/>
      <c r="E15" s="4"/>
      <c r="F15" s="4"/>
      <c r="G15" s="4"/>
      <c r="H15" s="4"/>
      <c r="I15" s="4"/>
      <c r="J15" s="4"/>
    </row>
    <row r="16" spans="1:13">
      <c r="C16" s="4"/>
      <c r="D16" s="4"/>
      <c r="E16" s="4"/>
      <c r="F16" s="4"/>
      <c r="G16" s="4"/>
      <c r="H16" s="4"/>
      <c r="I16" s="4"/>
      <c r="J16" s="4"/>
    </row>
    <row r="17" spans="3:10">
      <c r="C17" s="4"/>
      <c r="D17" s="4"/>
      <c r="E17" s="4"/>
      <c r="F17" s="4"/>
      <c r="G17" s="4"/>
      <c r="H17" s="4"/>
      <c r="I17" s="4"/>
      <c r="J17" s="4"/>
    </row>
    <row r="18" spans="3:10">
      <c r="C18" s="4"/>
      <c r="D18" s="4"/>
      <c r="E18" s="4"/>
      <c r="F18" s="4"/>
      <c r="G18" s="4"/>
      <c r="H18" s="4"/>
      <c r="I18" s="4"/>
      <c r="J18" s="4"/>
    </row>
    <row r="19" spans="3:10">
      <c r="C19" s="4"/>
      <c r="D19" s="4"/>
      <c r="E19" s="4"/>
      <c r="F19" s="4"/>
      <c r="G19" s="4"/>
      <c r="H19" s="4"/>
      <c r="I19" s="4"/>
      <c r="J19" s="4"/>
    </row>
    <row r="20" spans="3:10">
      <c r="C20" s="4"/>
      <c r="D20" s="4"/>
      <c r="E20" s="4"/>
      <c r="F20" s="4"/>
      <c r="G20" s="4"/>
      <c r="H20" s="4"/>
      <c r="I20" s="4"/>
      <c r="J20" s="4"/>
    </row>
  </sheetData>
  <mergeCells count="1">
    <mergeCell ref="A1:J1"/>
  </mergeCells>
  <conditionalFormatting sqref="M4:M7">
    <cfRule type="cellIs" dxfId="3" priority="1" operator="equal">
      <formula>1</formula>
    </cfRule>
    <cfRule type="cellIs" dxfId="2" priority="2" operator="notEqual">
      <formula>1</formula>
    </cfRule>
  </conditionalFormatting>
  <dataValidations count="2">
    <dataValidation type="list" allowBlank="1" showInputMessage="1" showErrorMessage="1" sqref="B3:J3" xr:uid="{00000000-0002-0000-0000-000000000000}">
      <formula1>"benefice,cout"</formula1>
    </dataValidation>
    <dataValidation type="list" allowBlank="1" showInputMessage="1" showErrorMessage="1" sqref="K3" xr:uid="{DA62C7F7-EFE5-41F1-9013-3C0EC37312EE}">
      <formula1>"Manuel,ALEA,CRITIC,Entropy,GA"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E3FC-120D-4C4F-B7FA-E0C9B1DB1C94}">
  <dimension ref="A1:AD36"/>
  <sheetViews>
    <sheetView workbookViewId="0">
      <selection activeCell="C34" sqref="C34"/>
    </sheetView>
  </sheetViews>
  <sheetFormatPr defaultRowHeight="15"/>
  <cols>
    <col min="1" max="1" width="57" style="7" customWidth="1"/>
    <col min="2" max="2" width="19.7109375" bestFit="1" customWidth="1"/>
    <col min="3" max="3" width="22.42578125" bestFit="1" customWidth="1"/>
    <col min="4" max="4" width="25" bestFit="1" customWidth="1"/>
    <col min="5" max="5" width="33.42578125" bestFit="1" customWidth="1"/>
    <col min="6" max="8" width="33.42578125" customWidth="1"/>
    <col min="9" max="9" width="30.42578125" bestFit="1" customWidth="1"/>
    <col min="10" max="10" width="51.5703125" bestFit="1" customWidth="1"/>
    <col min="11" max="11" width="30" bestFit="1" customWidth="1"/>
    <col min="12" max="12" width="50.85546875" bestFit="1" customWidth="1"/>
    <col min="13" max="13" width="32.5703125" bestFit="1" customWidth="1"/>
    <col min="14" max="15" width="32.5703125" customWidth="1"/>
    <col min="16" max="16" width="29.42578125" bestFit="1" customWidth="1"/>
    <col min="17" max="17" width="33.28515625" bestFit="1" customWidth="1"/>
    <col min="18" max="18" width="32.42578125" bestFit="1" customWidth="1"/>
    <col min="19" max="19" width="36.5703125" bestFit="1" customWidth="1"/>
    <col min="20" max="20" width="42.140625" bestFit="1" customWidth="1"/>
    <col min="21" max="21" width="22.7109375" bestFit="1" customWidth="1"/>
    <col min="22" max="22" width="41.5703125" bestFit="1" customWidth="1"/>
    <col min="23" max="23" width="28.42578125" bestFit="1" customWidth="1"/>
    <col min="24" max="24" width="43" bestFit="1" customWidth="1"/>
    <col min="25" max="25" width="57.28515625" bestFit="1" customWidth="1"/>
    <col min="26" max="26" width="30.85546875" bestFit="1" customWidth="1"/>
    <col min="27" max="27" width="14.42578125" bestFit="1" customWidth="1"/>
    <col min="28" max="28" width="20.42578125" bestFit="1" customWidth="1"/>
    <col min="29" max="29" width="20.7109375" bestFit="1" customWidth="1"/>
    <col min="30" max="30" width="21.140625" bestFit="1" customWidth="1"/>
    <col min="31" max="31" width="21" bestFit="1" customWidth="1"/>
    <col min="32" max="32" width="21.28515625" bestFit="1" customWidth="1"/>
    <col min="33" max="33" width="27" bestFit="1" customWidth="1"/>
    <col min="34" max="34" width="22" bestFit="1" customWidth="1"/>
    <col min="35" max="35" width="27.42578125" bestFit="1" customWidth="1"/>
    <col min="36" max="36" width="24.7109375" bestFit="1" customWidth="1"/>
    <col min="37" max="37" width="20.7109375" bestFit="1" customWidth="1"/>
    <col min="38" max="38" width="22.7109375" bestFit="1" customWidth="1"/>
  </cols>
  <sheetData>
    <row r="1" spans="1:30" s="7" customFormat="1">
      <c r="A1" s="7" t="s">
        <v>1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7" t="s">
        <v>46</v>
      </c>
      <c r="U1" s="7" t="s">
        <v>47</v>
      </c>
    </row>
    <row r="2" spans="1:30">
      <c r="A2" s="7" t="s">
        <v>48</v>
      </c>
      <c r="C2">
        <v>0.12997026266113901</v>
      </c>
      <c r="D2">
        <v>19.636295365229099</v>
      </c>
      <c r="E2">
        <v>2.0510318942236101E-2</v>
      </c>
      <c r="F2">
        <v>19.559965097447101</v>
      </c>
      <c r="G2">
        <v>5.5819948839739002E-2</v>
      </c>
      <c r="H2">
        <v>53.715197616040797</v>
      </c>
      <c r="I2">
        <v>185.75991155635299</v>
      </c>
      <c r="J2">
        <v>5.8272202318050501E-3</v>
      </c>
      <c r="K2">
        <v>2.11289325670674E-2</v>
      </c>
      <c r="L2">
        <v>0.22001010484293501</v>
      </c>
      <c r="M2" s="10">
        <v>3.9856255504628899E-8</v>
      </c>
      <c r="N2" s="10">
        <v>1.3863527164094901E-7</v>
      </c>
      <c r="O2">
        <v>0.32865526571506398</v>
      </c>
      <c r="P2">
        <v>30.517277664262298</v>
      </c>
      <c r="Q2" s="10">
        <v>1.5797157368960099E-5</v>
      </c>
      <c r="R2" s="10">
        <v>1.0372691943127E-7</v>
      </c>
      <c r="S2" s="10">
        <v>1.6334723611815E-6</v>
      </c>
      <c r="T2">
        <v>6.8474326638603006E-2</v>
      </c>
      <c r="U2">
        <v>4.7864387098224404</v>
      </c>
    </row>
    <row r="3" spans="1:30">
      <c r="A3" s="7" t="s">
        <v>21</v>
      </c>
      <c r="B3">
        <v>0.59156457038133869</v>
      </c>
      <c r="C3">
        <v>1.89548044939571E-2</v>
      </c>
      <c r="D3">
        <v>4.6515460372663</v>
      </c>
      <c r="E3">
        <v>5.5066752363601597E-3</v>
      </c>
      <c r="F3">
        <v>4.6414399592382098</v>
      </c>
      <c r="G3">
        <v>4.59940279172898E-3</v>
      </c>
      <c r="H3">
        <v>131.04868221394699</v>
      </c>
      <c r="I3">
        <v>91.050460000000001</v>
      </c>
      <c r="J3">
        <v>1.17E-3</v>
      </c>
      <c r="K3">
        <v>3.8100000000000002E-2</v>
      </c>
      <c r="L3">
        <v>3.8550000000000001E-2</v>
      </c>
      <c r="M3">
        <v>5.4600400000000001E-8</v>
      </c>
      <c r="N3">
        <v>4.7945999999999998E-8</v>
      </c>
      <c r="O3">
        <v>0.22894</v>
      </c>
      <c r="P3">
        <v>21.360119999999998</v>
      </c>
      <c r="Q3">
        <v>4.3863899999999999E-5</v>
      </c>
      <c r="R3">
        <v>1.62732E-7</v>
      </c>
      <c r="S3">
        <v>2.0781999999999999E-7</v>
      </c>
      <c r="T3">
        <v>1.8519999999999998E-2</v>
      </c>
      <c r="U3">
        <v>1.2750300000000001</v>
      </c>
    </row>
    <row r="4" spans="1:30">
      <c r="A4" s="7" t="s">
        <v>26</v>
      </c>
      <c r="B4">
        <f>O33</f>
        <v>0.56533715113607519</v>
      </c>
      <c r="C4">
        <v>1.9239794535379301E-2</v>
      </c>
      <c r="D4">
        <v>4.6934656637848899</v>
      </c>
      <c r="E4">
        <v>1.7119392892901701E-2</v>
      </c>
      <c r="F4">
        <v>4.6637925714971802</v>
      </c>
      <c r="G4">
        <v>1.2553699394804101E-2</v>
      </c>
      <c r="H4">
        <v>161.77595386562999</v>
      </c>
      <c r="I4">
        <v>91.311484418951295</v>
      </c>
      <c r="J4">
        <v>1.2933049320464399E-3</v>
      </c>
      <c r="K4">
        <v>4.3638098062058197E-3</v>
      </c>
      <c r="L4">
        <v>4.0000980709097099E-2</v>
      </c>
      <c r="M4" s="10">
        <v>5.4666173922058401E-8</v>
      </c>
      <c r="N4" s="10">
        <v>3.7645498462231898E-8</v>
      </c>
      <c r="O4">
        <v>0.228968229970333</v>
      </c>
      <c r="P4">
        <v>30.611873054281102</v>
      </c>
      <c r="Q4" s="10">
        <v>4.4024575680227999E-5</v>
      </c>
      <c r="R4" s="10">
        <v>1.6273539073933699E-7</v>
      </c>
      <c r="S4" s="10">
        <v>2.3337267951057299E-7</v>
      </c>
      <c r="T4">
        <v>1.8744572949002499E-2</v>
      </c>
      <c r="U4">
        <v>2.1530621718153902</v>
      </c>
      <c r="AB4" s="10"/>
      <c r="AC4" s="10"/>
      <c r="AD4" s="10"/>
    </row>
    <row r="5" spans="1:30">
      <c r="A5" s="7" t="s">
        <v>22</v>
      </c>
      <c r="B5">
        <v>4.9818999834348592</v>
      </c>
      <c r="C5">
        <v>0.25</v>
      </c>
      <c r="D5">
        <v>72.319999999999993</v>
      </c>
      <c r="H5">
        <v>841.9</v>
      </c>
      <c r="I5">
        <v>1051.02</v>
      </c>
      <c r="J5">
        <v>0.01</v>
      </c>
      <c r="K5">
        <v>0.06</v>
      </c>
      <c r="L5">
        <v>0.49</v>
      </c>
      <c r="M5">
        <v>1.6199999999999999E-8</v>
      </c>
      <c r="N5">
        <v>3.3599999999999999E-7</v>
      </c>
      <c r="O5">
        <v>3.61</v>
      </c>
      <c r="P5">
        <v>72.959999999999994</v>
      </c>
      <c r="Q5">
        <v>8.8700000000000001E-5</v>
      </c>
      <c r="R5">
        <v>4.4399999999999998E-6</v>
      </c>
      <c r="S5">
        <v>1.44E-6</v>
      </c>
      <c r="T5">
        <v>0.13</v>
      </c>
      <c r="U5">
        <v>12.23</v>
      </c>
    </row>
    <row r="6" spans="1:30">
      <c r="A6" s="7" t="s">
        <v>23</v>
      </c>
      <c r="B6">
        <v>0.68826705994897452</v>
      </c>
      <c r="C6">
        <v>2.325E-2</v>
      </c>
      <c r="D6">
        <v>4.3761900000000002</v>
      </c>
      <c r="E6">
        <v>3.6600000000000001E-3</v>
      </c>
      <c r="F6">
        <v>4.3693</v>
      </c>
      <c r="G6">
        <v>3.2200000000000002E-3</v>
      </c>
      <c r="H6">
        <v>103.39649</v>
      </c>
      <c r="I6">
        <v>71.673280000000005</v>
      </c>
      <c r="J6">
        <v>1.16E-3</v>
      </c>
      <c r="K6">
        <v>4.6800000000000001E-3</v>
      </c>
      <c r="L6">
        <v>4.9390000000000003E-2</v>
      </c>
      <c r="M6">
        <v>3.5806499999999997E-8</v>
      </c>
      <c r="N6">
        <v>1.1147100000000001E-7</v>
      </c>
      <c r="O6">
        <v>0.28766000000000003</v>
      </c>
      <c r="P6">
        <v>12.62703</v>
      </c>
      <c r="Q6">
        <v>2.1000000000000001E-4</v>
      </c>
      <c r="R6">
        <v>1.1408500000000001E-7</v>
      </c>
      <c r="S6">
        <v>2.1208999999999999E-7</v>
      </c>
      <c r="T6">
        <v>1.8939999999999999E-2</v>
      </c>
      <c r="U6">
        <v>1.04844</v>
      </c>
    </row>
    <row r="7" spans="1:30">
      <c r="A7" s="7" t="s">
        <v>24</v>
      </c>
      <c r="B7">
        <v>1.5841710884702902</v>
      </c>
      <c r="C7">
        <v>0.12997026266113901</v>
      </c>
      <c r="D7">
        <v>19.636295365229099</v>
      </c>
      <c r="E7">
        <v>2.0510318942236101E-2</v>
      </c>
      <c r="F7">
        <v>19.559965097447101</v>
      </c>
      <c r="G7">
        <v>5.5819948839739002E-2</v>
      </c>
      <c r="H7">
        <v>53.715197616040797</v>
      </c>
      <c r="I7">
        <v>185.75991155635299</v>
      </c>
      <c r="J7">
        <v>5.8272202318050501E-3</v>
      </c>
      <c r="K7">
        <v>2.11289325670674E-2</v>
      </c>
      <c r="L7">
        <v>0.22001010484293501</v>
      </c>
      <c r="M7">
        <v>3.9856255504628899E-8</v>
      </c>
      <c r="N7">
        <v>1.3863527164094901E-7</v>
      </c>
      <c r="O7">
        <v>0.32865526571506398</v>
      </c>
      <c r="P7">
        <v>30.517277664262298</v>
      </c>
      <c r="Q7">
        <v>1.5797157368960099E-5</v>
      </c>
      <c r="R7">
        <v>1.0372691943127E-7</v>
      </c>
      <c r="S7">
        <v>1.6334723611815E-6</v>
      </c>
      <c r="T7">
        <v>6.8474326638603006E-2</v>
      </c>
      <c r="U7">
        <v>4.7864387098224404</v>
      </c>
    </row>
    <row r="8" spans="1:30">
      <c r="A8" s="7" t="s">
        <v>49</v>
      </c>
      <c r="B8">
        <f>N33</f>
        <v>0.55484766857284984</v>
      </c>
      <c r="C8">
        <v>1.93592608940205E-2</v>
      </c>
      <c r="D8">
        <v>4.6785260123431396</v>
      </c>
      <c r="E8">
        <v>1.05052442826761E-2</v>
      </c>
      <c r="F8">
        <v>4.6446813883561298</v>
      </c>
      <c r="G8">
        <v>2.33393797043349E-2</v>
      </c>
      <c r="H8">
        <v>138.24778053212501</v>
      </c>
      <c r="I8">
        <v>91.020187752527406</v>
      </c>
      <c r="J8">
        <v>1.2198603197518E-3</v>
      </c>
      <c r="K8">
        <v>4.1632102677814902E-3</v>
      </c>
      <c r="L8">
        <v>4.0836560672406902E-2</v>
      </c>
      <c r="M8" s="10">
        <v>5.45269323876888E-8</v>
      </c>
      <c r="N8" s="10">
        <v>3.7138911673769301E-8</v>
      </c>
      <c r="O8">
        <v>0.22872395707572399</v>
      </c>
      <c r="P8">
        <v>17.716616438008401</v>
      </c>
      <c r="Q8" s="10">
        <v>4.39462817781638E-5</v>
      </c>
      <c r="R8" s="10">
        <v>1.6182487172341899E-7</v>
      </c>
      <c r="S8" s="10">
        <v>2.26208466786137E-7</v>
      </c>
      <c r="T8">
        <v>1.8531801887457702E-2</v>
      </c>
      <c r="U8">
        <v>2.48536830711737</v>
      </c>
      <c r="W8" s="10"/>
      <c r="X8" s="10"/>
      <c r="Y8" s="10"/>
    </row>
    <row r="9" spans="1:30">
      <c r="A9" s="7" t="s">
        <v>50</v>
      </c>
      <c r="B9">
        <f>M33</f>
        <v>0.76623109986441162</v>
      </c>
      <c r="C9">
        <v>2.9017352392725699E-2</v>
      </c>
      <c r="D9">
        <v>5.3190925860214202</v>
      </c>
      <c r="E9">
        <v>4.9170595140669796E-3</v>
      </c>
      <c r="F9">
        <v>5.3100745968865803</v>
      </c>
      <c r="G9">
        <v>4.1009296207714001E-3</v>
      </c>
      <c r="H9">
        <v>54.3904267129071</v>
      </c>
      <c r="I9">
        <v>59.1558897273109</v>
      </c>
      <c r="J9">
        <v>1.7198526025E-3</v>
      </c>
      <c r="K9">
        <v>5.2918678389231302E-3</v>
      </c>
      <c r="L9">
        <v>5.6307779759790101E-2</v>
      </c>
      <c r="M9" s="10">
        <v>1.3890309848359101E-7</v>
      </c>
      <c r="N9" s="10">
        <v>1.08559020726886E-7</v>
      </c>
      <c r="O9">
        <v>0.33889254418541997</v>
      </c>
      <c r="P9">
        <v>26.499944802758499</v>
      </c>
      <c r="Q9" s="10">
        <v>1.2640790471411299E-4</v>
      </c>
      <c r="R9" s="10">
        <v>3.7965076868851901E-8</v>
      </c>
      <c r="S9" s="10">
        <v>4.3470352587287298E-7</v>
      </c>
      <c r="T9">
        <v>1.8003456686545599E-2</v>
      </c>
      <c r="U9">
        <v>1.6102483758200401</v>
      </c>
    </row>
    <row r="13" spans="1:30" s="7" customFormat="1">
      <c r="A13" s="6" t="s">
        <v>51</v>
      </c>
      <c r="B13" s="6" t="s">
        <v>21</v>
      </c>
      <c r="C13" s="6" t="s">
        <v>22</v>
      </c>
      <c r="D13" s="6" t="s">
        <v>23</v>
      </c>
      <c r="E13" s="6" t="s">
        <v>52</v>
      </c>
      <c r="F13" s="7" t="s">
        <v>50</v>
      </c>
      <c r="G13" s="7" t="s">
        <v>49</v>
      </c>
      <c r="H13" s="7" t="s">
        <v>26</v>
      </c>
      <c r="I13" s="6" t="str">
        <f xml:space="preserve"> "Single Score " &amp; B13</f>
        <v>Single Score Flax/Epoxy</v>
      </c>
      <c r="J13" s="6" t="str">
        <f xml:space="preserve"> "Single Score " &amp; C13</f>
        <v>Single Score Carbon/Epoxy</v>
      </c>
      <c r="K13" s="6" t="str">
        <f xml:space="preserve"> "Single Score " &amp; D13</f>
        <v>Single Score Glass/Epoxy</v>
      </c>
      <c r="L13" s="6" t="str">
        <f xml:space="preserve"> "Single Score " &amp; E13</f>
        <v>Single Score Aluminium</v>
      </c>
      <c r="M13" s="6" t="str">
        <f t="shared" ref="M13:O13" si="0" xml:space="preserve"> "Single Score " &amp; F13</f>
        <v>Single Score Steel template</v>
      </c>
      <c r="N13" s="6" t="str">
        <f t="shared" si="0"/>
        <v>Single Score Jute/Epoxy</v>
      </c>
      <c r="O13" s="6" t="str">
        <f t="shared" si="0"/>
        <v>Single Score Hemp/Epoxy</v>
      </c>
      <c r="P13" s="6" t="s">
        <v>53</v>
      </c>
      <c r="Q13" s="6" t="s">
        <v>54</v>
      </c>
      <c r="R13" s="6"/>
      <c r="S13" s="6"/>
      <c r="T13" s="6"/>
      <c r="U13" s="6"/>
      <c r="V13" s="6"/>
      <c r="W13" s="6"/>
    </row>
    <row r="14" spans="1:30">
      <c r="A14" s="6" t="s">
        <v>29</v>
      </c>
      <c r="B14" s="5">
        <v>1.89548044939571E-2</v>
      </c>
      <c r="C14" s="5">
        <v>0.25</v>
      </c>
      <c r="D14" s="5">
        <v>2.325E-2</v>
      </c>
      <c r="E14" s="5">
        <v>0.12997026266113901</v>
      </c>
      <c r="F14">
        <v>2.9017352392725699E-2</v>
      </c>
      <c r="G14">
        <v>1.93592608940205E-2</v>
      </c>
      <c r="H14">
        <v>1.9239794535379301E-2</v>
      </c>
      <c r="I14" s="5">
        <f>((B14/$P14)*$Q14)*10^3</f>
        <v>2.113665249326151E-2</v>
      </c>
      <c r="J14" s="5">
        <f>((C14/$P14)*$Q14)*10^3</f>
        <v>0.27877697841726617</v>
      </c>
      <c r="K14" s="5">
        <f>((D14/$P14)*$Q14)*10^3</f>
        <v>2.5926258992805758E-2</v>
      </c>
      <c r="L14" s="5">
        <f>((E14/$P14)*$Q14)*10^3</f>
        <v>0.14493086843508304</v>
      </c>
      <c r="M14" s="5">
        <f t="shared" ref="M14:O15" si="1">((F14/$P14)*$Q14)*10^3</f>
        <v>3.2357479286852397E-2</v>
      </c>
      <c r="N14" s="5">
        <f t="shared" si="1"/>
        <v>2.1587665025706311E-2</v>
      </c>
      <c r="O14" s="5">
        <f t="shared" si="1"/>
        <v>2.1454447143768287E-2</v>
      </c>
      <c r="P14" s="5">
        <v>55.6</v>
      </c>
      <c r="Q14" s="5">
        <v>6.2E-2</v>
      </c>
      <c r="R14" s="5"/>
      <c r="S14" s="5"/>
      <c r="T14" s="5"/>
      <c r="U14" s="5"/>
      <c r="V14" s="5"/>
      <c r="W14" s="5"/>
    </row>
    <row r="15" spans="1:30">
      <c r="A15" s="6" t="s">
        <v>30</v>
      </c>
      <c r="B15" s="5">
        <v>4.6515460372663</v>
      </c>
      <c r="C15" s="5">
        <v>72.319999999999993</v>
      </c>
      <c r="D15" s="5">
        <v>4.3761900000000002</v>
      </c>
      <c r="E15" s="5">
        <v>19.636295365229099</v>
      </c>
      <c r="F15">
        <v>5.3190925860214202</v>
      </c>
      <c r="G15">
        <v>4.6785260123431396</v>
      </c>
      <c r="H15">
        <v>4.6934656637848899</v>
      </c>
      <c r="I15" s="5">
        <f t="shared" ref="I15:I33" si="2">((B15/$P15)*$Q15)*10^3</f>
        <v>0.12975040999315007</v>
      </c>
      <c r="J15" s="5">
        <f>((C15/$P15)*$Q15)*10^3</f>
        <v>2.0172969536423841</v>
      </c>
      <c r="K15" s="5">
        <f>((D15/$P15)*$Q15)*10^3</f>
        <v>0.12206961774834439</v>
      </c>
      <c r="L15" s="5">
        <f>((E15/$P15)*$Q15)*10^3</f>
        <v>0.54773560316784753</v>
      </c>
      <c r="M15" s="5">
        <f t="shared" si="1"/>
        <v>0.1483709799491538</v>
      </c>
      <c r="N15" s="5">
        <f t="shared" si="1"/>
        <v>0.13050299048999539</v>
      </c>
      <c r="O15" s="5">
        <f t="shared" si="1"/>
        <v>0.13091971772094013</v>
      </c>
      <c r="P15" s="5">
        <v>7550</v>
      </c>
      <c r="Q15" s="5">
        <v>0.21060000000000001</v>
      </c>
      <c r="R15" s="5"/>
      <c r="S15" s="5"/>
      <c r="T15" s="5"/>
      <c r="U15" s="5"/>
      <c r="V15" s="5"/>
      <c r="W15" s="5"/>
    </row>
    <row r="16" spans="1:30">
      <c r="A16" s="6" t="s">
        <v>31</v>
      </c>
      <c r="B16" s="5">
        <v>5.5066752363601597E-3</v>
      </c>
      <c r="C16" s="5">
        <v>0</v>
      </c>
      <c r="D16" s="5">
        <v>3.6600000000000001E-3</v>
      </c>
      <c r="E16" s="5">
        <v>2.0510318942236101E-2</v>
      </c>
      <c r="F16">
        <v>4.9170595140669796E-3</v>
      </c>
      <c r="G16">
        <v>1.05052442826761E-2</v>
      </c>
      <c r="H16">
        <v>1.7119392892901701E-2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>
      <c r="A17" s="6" t="s">
        <v>32</v>
      </c>
      <c r="B17" s="5">
        <v>4.6414399592382098</v>
      </c>
      <c r="C17" s="5">
        <v>0</v>
      </c>
      <c r="D17" s="5">
        <v>4.3693</v>
      </c>
      <c r="E17" s="5">
        <v>19.559965097447101</v>
      </c>
      <c r="F17">
        <v>5.3100745968865803</v>
      </c>
      <c r="G17">
        <v>4.6446813883561298</v>
      </c>
      <c r="H17">
        <v>4.6637925714971802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>
      <c r="A18" s="6" t="s">
        <v>33</v>
      </c>
      <c r="B18" s="5">
        <v>4.59940279172898E-3</v>
      </c>
      <c r="C18" s="5">
        <v>0</v>
      </c>
      <c r="D18" s="5">
        <v>3.2200000000000002E-3</v>
      </c>
      <c r="E18" s="5">
        <v>5.5819948839739002E-2</v>
      </c>
      <c r="F18">
        <v>4.1009296207714001E-3</v>
      </c>
      <c r="G18">
        <v>2.33393797043349E-2</v>
      </c>
      <c r="H18">
        <v>1.2553699394804101E-2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>
      <c r="A19" s="6" t="s">
        <v>34</v>
      </c>
      <c r="B19" s="5">
        <v>131.04868221394699</v>
      </c>
      <c r="C19" s="5">
        <v>841.9</v>
      </c>
      <c r="D19" s="5">
        <v>103.39649</v>
      </c>
      <c r="E19" s="5">
        <v>53.715197616040797</v>
      </c>
      <c r="F19">
        <v>54.3904267129071</v>
      </c>
      <c r="G19">
        <v>138.24778053212501</v>
      </c>
      <c r="H19">
        <v>161.77595386562999</v>
      </c>
      <c r="I19" s="5">
        <f t="shared" si="2"/>
        <v>4.4376273342288927E-2</v>
      </c>
      <c r="J19" s="5">
        <f>((C19/$P19)*$Q19)*10^3</f>
        <v>0.28508783068783067</v>
      </c>
      <c r="K19" s="5">
        <f>((D19/$P19)*$Q19)*10^3</f>
        <v>3.5012568042328045E-2</v>
      </c>
      <c r="L19" s="5">
        <f>((E19/$P19)*$Q19)*10^3</f>
        <v>1.8189273266807464E-2</v>
      </c>
      <c r="M19" s="5">
        <f t="shared" ref="M19:O32" si="3">((F19/$P19)*$Q19)*10^3</f>
        <v>1.8417922273153725E-2</v>
      </c>
      <c r="N19" s="5">
        <f t="shared" si="3"/>
        <v>4.6814063248973546E-2</v>
      </c>
      <c r="O19" s="5">
        <f t="shared" si="3"/>
        <v>5.4781275383070469E-2</v>
      </c>
      <c r="P19" s="5">
        <v>56700</v>
      </c>
      <c r="Q19" s="5">
        <v>1.9199999999999998E-2</v>
      </c>
      <c r="R19" s="5"/>
      <c r="S19" s="5"/>
      <c r="T19" s="5"/>
      <c r="U19" s="5"/>
      <c r="V19" s="5"/>
      <c r="W19" s="5"/>
    </row>
    <row r="20" spans="1:23">
      <c r="A20" s="6" t="s">
        <v>35</v>
      </c>
      <c r="B20" s="5">
        <v>91.050460000000001</v>
      </c>
      <c r="C20" s="5">
        <v>1051.02</v>
      </c>
      <c r="D20" s="5">
        <v>71.673280000000005</v>
      </c>
      <c r="E20" s="5">
        <v>185.75991155635299</v>
      </c>
      <c r="F20">
        <v>59.1558897273109</v>
      </c>
      <c r="G20">
        <v>91.020187752527406</v>
      </c>
      <c r="H20">
        <v>91.311484418951295</v>
      </c>
      <c r="I20" s="5">
        <f t="shared" si="2"/>
        <v>0.1165445888</v>
      </c>
      <c r="J20" s="5">
        <f>((C20/$P20)*$Q20)*10^3</f>
        <v>1.3453055999999999</v>
      </c>
      <c r="K20" s="5">
        <f>((D20/$P20)*$Q20)*10^3</f>
        <v>9.1741798400000005E-2</v>
      </c>
      <c r="L20" s="5">
        <f>((E20/$P20)*$Q20)*10^3</f>
        <v>0.23777268679213182</v>
      </c>
      <c r="M20" s="5">
        <f t="shared" si="3"/>
        <v>7.5719538850957946E-2</v>
      </c>
      <c r="N20" s="5">
        <f t="shared" si="3"/>
        <v>0.11650584032323508</v>
      </c>
      <c r="O20" s="5">
        <f t="shared" si="3"/>
        <v>0.11687870005625767</v>
      </c>
      <c r="P20" s="5">
        <v>65000</v>
      </c>
      <c r="Q20" s="5">
        <v>8.3199999999999996E-2</v>
      </c>
      <c r="R20" s="5"/>
      <c r="S20" s="5"/>
      <c r="T20" s="5"/>
      <c r="U20" s="5"/>
      <c r="V20" s="5"/>
      <c r="W20" s="5"/>
    </row>
    <row r="21" spans="1:23">
      <c r="A21" s="6" t="s">
        <v>36</v>
      </c>
      <c r="B21" s="5">
        <v>1.17E-3</v>
      </c>
      <c r="C21" s="5">
        <v>0.01</v>
      </c>
      <c r="D21" s="5">
        <v>1.16E-3</v>
      </c>
      <c r="E21" s="5">
        <v>5.8272202318050501E-3</v>
      </c>
      <c r="F21">
        <v>1.7198526025E-3</v>
      </c>
      <c r="G21">
        <v>1.2198603197518E-3</v>
      </c>
      <c r="H21">
        <v>1.2933049320464399E-3</v>
      </c>
      <c r="I21" s="5">
        <f t="shared" si="2"/>
        <v>2.0347826086956521E-2</v>
      </c>
      <c r="J21" s="5">
        <f>((C21/$P21)*$Q21)*10^3</f>
        <v>0.17391304347826086</v>
      </c>
      <c r="K21" s="5">
        <f>((D21/$P21)*$Q21)*10^3</f>
        <v>2.0173913043478261E-2</v>
      </c>
      <c r="L21" s="5">
        <f>((E21/$P21)*$Q21)*10^3</f>
        <v>0.1013429605531313</v>
      </c>
      <c r="M21" s="5">
        <f t="shared" si="3"/>
        <v>2.9910480043478262E-2</v>
      </c>
      <c r="N21" s="5">
        <f t="shared" si="3"/>
        <v>2.1214962082640003E-2</v>
      </c>
      <c r="O21" s="5">
        <f t="shared" si="3"/>
        <v>2.2492259687764173E-2</v>
      </c>
      <c r="P21" s="5">
        <v>1.61</v>
      </c>
      <c r="Q21" s="5">
        <v>2.8000000000000001E-2</v>
      </c>
      <c r="R21" s="5"/>
      <c r="S21" s="5"/>
      <c r="T21" s="5"/>
      <c r="U21" s="5"/>
      <c r="V21" s="5"/>
      <c r="W21" s="5"/>
    </row>
    <row r="22" spans="1:23">
      <c r="A22" s="6" t="s">
        <v>37</v>
      </c>
      <c r="B22" s="5">
        <v>3.8100000000000002E-2</v>
      </c>
      <c r="C22" s="5">
        <v>0.06</v>
      </c>
      <c r="D22" s="5">
        <v>4.6800000000000001E-3</v>
      </c>
      <c r="E22" s="5">
        <v>2.11289325670674E-2</v>
      </c>
      <c r="F22">
        <v>5.2918678389231302E-3</v>
      </c>
      <c r="G22">
        <v>4.1632102677814902E-3</v>
      </c>
      <c r="H22">
        <v>4.3638098062058197E-3</v>
      </c>
      <c r="I22" s="5">
        <f t="shared" si="2"/>
        <v>5.7833846153846159E-2</v>
      </c>
      <c r="J22" s="5">
        <f>((C22/$P22)*$Q22)*10^3</f>
        <v>9.1076923076923083E-2</v>
      </c>
      <c r="K22" s="5">
        <f>((D22/$P22)*$Q22)*10^3</f>
        <v>7.1040000000000001E-3</v>
      </c>
      <c r="L22" s="5">
        <f>((E22/$P22)*$Q22)*10^3</f>
        <v>3.2072636101804879E-2</v>
      </c>
      <c r="M22" s="5">
        <f t="shared" si="3"/>
        <v>8.0327840016474177E-3</v>
      </c>
      <c r="N22" s="5">
        <f t="shared" si="3"/>
        <v>6.3195396885298519E-3</v>
      </c>
      <c r="O22" s="5">
        <f t="shared" si="3"/>
        <v>6.6240395007021672E-3</v>
      </c>
      <c r="P22" s="5">
        <v>19.5</v>
      </c>
      <c r="Q22" s="5">
        <v>2.9600000000000001E-2</v>
      </c>
      <c r="R22" s="5"/>
      <c r="S22" s="5"/>
      <c r="T22" s="5"/>
      <c r="U22" s="5"/>
      <c r="V22" s="5"/>
      <c r="W22" s="5"/>
    </row>
    <row r="23" spans="1:23">
      <c r="A23" s="6" t="s">
        <v>38</v>
      </c>
      <c r="B23" s="5">
        <v>3.8550000000000001E-2</v>
      </c>
      <c r="C23" s="5">
        <v>0.49</v>
      </c>
      <c r="D23" s="5">
        <v>4.9390000000000003E-2</v>
      </c>
      <c r="E23" s="5">
        <v>0.22001010484293501</v>
      </c>
      <c r="F23">
        <v>5.6307779759790101E-2</v>
      </c>
      <c r="G23">
        <v>4.0836560672406902E-2</v>
      </c>
      <c r="H23">
        <v>4.0000980709097099E-2</v>
      </c>
      <c r="I23" s="5">
        <f t="shared" si="2"/>
        <v>8.0802542372881356E-3</v>
      </c>
      <c r="J23" s="5">
        <f>((C23/$P23)*$Q23)*10^3</f>
        <v>0.10270621468926554</v>
      </c>
      <c r="K23" s="5">
        <f>((D23/$P23)*$Q23)*10^3</f>
        <v>1.035236723163842E-2</v>
      </c>
      <c r="L23" s="5">
        <f>((E23/$P23)*$Q23)*10^3</f>
        <v>4.6115112371033273E-2</v>
      </c>
      <c r="M23" s="5">
        <f t="shared" si="3"/>
        <v>1.18023651360916E-2</v>
      </c>
      <c r="N23" s="5">
        <f t="shared" si="3"/>
        <v>8.5595276889621243E-3</v>
      </c>
      <c r="O23" s="5">
        <f t="shared" si="3"/>
        <v>8.3843863520197872E-3</v>
      </c>
      <c r="P23" s="5">
        <v>177</v>
      </c>
      <c r="Q23" s="5">
        <v>3.7100000000000001E-2</v>
      </c>
      <c r="R23" s="5"/>
      <c r="S23" s="5"/>
      <c r="T23" s="5"/>
      <c r="U23" s="5"/>
      <c r="V23" s="5"/>
      <c r="W23" s="5"/>
    </row>
    <row r="24" spans="1:23">
      <c r="A24" s="6" t="s">
        <v>39</v>
      </c>
      <c r="B24" s="5">
        <v>5.4600400000000001E-8</v>
      </c>
      <c r="C24" s="5">
        <v>1.6199999999999999E-8</v>
      </c>
      <c r="D24" s="5">
        <v>3.5806499999999997E-8</v>
      </c>
      <c r="E24" s="5">
        <v>3.9856255504628899E-8</v>
      </c>
      <c r="F24" s="10">
        <v>1.3890309848359101E-7</v>
      </c>
      <c r="G24" s="10">
        <v>5.45269323876888E-8</v>
      </c>
      <c r="H24" s="10">
        <v>5.4666173922058401E-8</v>
      </c>
      <c r="I24" s="5">
        <f t="shared" si="2"/>
        <v>6.7224769942196533E-2</v>
      </c>
      <c r="J24" s="5">
        <f>((C24/$P24)*$Q24)*10^3</f>
        <v>1.9945664739884392E-2</v>
      </c>
      <c r="K24" s="5">
        <f>((D24/$P24)*$Q24)*10^3</f>
        <v>4.4085459537572244E-2</v>
      </c>
      <c r="L24" s="5">
        <f>((E24/$P24)*$Q24)*10^3</f>
        <v>4.9071574696450612E-2</v>
      </c>
      <c r="M24" s="5">
        <f t="shared" si="3"/>
        <v>0.17101942183239816</v>
      </c>
      <c r="N24" s="5">
        <f t="shared" si="3"/>
        <v>6.7134315598715119E-2</v>
      </c>
      <c r="O24" s="5">
        <f t="shared" si="3"/>
        <v>6.7305751707505426E-2</v>
      </c>
      <c r="P24" s="5">
        <v>1.73E-5</v>
      </c>
      <c r="Q24" s="5">
        <v>2.1299999999999999E-2</v>
      </c>
      <c r="R24" s="5"/>
      <c r="S24" s="5"/>
      <c r="T24" s="5"/>
      <c r="U24" s="5"/>
      <c r="V24" s="5"/>
      <c r="W24" s="5"/>
    </row>
    <row r="25" spans="1:23">
      <c r="A25" s="6" t="s">
        <v>40</v>
      </c>
      <c r="B25" s="5">
        <v>4.7945999999999998E-8</v>
      </c>
      <c r="C25" s="5">
        <v>3.3599999999999999E-7</v>
      </c>
      <c r="D25" s="5">
        <v>1.1147100000000001E-7</v>
      </c>
      <c r="E25" s="5">
        <v>1.3863527164094901E-7</v>
      </c>
      <c r="F25" s="10">
        <v>1.08559020726886E-7</v>
      </c>
      <c r="G25" s="10">
        <v>3.7138911673769301E-8</v>
      </c>
      <c r="H25" s="10">
        <v>3.7645498462231898E-8</v>
      </c>
      <c r="I25" s="5">
        <f t="shared" si="2"/>
        <v>6.8388093023255816E-3</v>
      </c>
      <c r="J25" s="5">
        <f>((C25/$P25)*$Q25)*10^3</f>
        <v>4.7925581395348846E-2</v>
      </c>
      <c r="K25" s="5">
        <f>((D25/$P25)*$Q25)*10^3</f>
        <v>1.589973953488372E-2</v>
      </c>
      <c r="L25" s="5">
        <f>((E25/$P25)*$Q25)*10^3</f>
        <v>1.9774333319329162E-2</v>
      </c>
      <c r="M25" s="5">
        <f t="shared" si="3"/>
        <v>1.5484387452517075E-2</v>
      </c>
      <c r="N25" s="5">
        <f t="shared" si="3"/>
        <v>5.2973331379639931E-3</v>
      </c>
      <c r="O25" s="5">
        <f t="shared" si="3"/>
        <v>5.3695904783338522E-3</v>
      </c>
      <c r="P25" s="5">
        <v>1.2899999999999999E-4</v>
      </c>
      <c r="Q25" s="5">
        <v>1.84E-2</v>
      </c>
      <c r="R25" s="5"/>
      <c r="S25" s="5"/>
      <c r="T25" s="5"/>
      <c r="U25" s="5"/>
      <c r="V25" s="5"/>
      <c r="W25" s="5"/>
    </row>
    <row r="26" spans="1:23">
      <c r="A26" s="6" t="s">
        <v>41</v>
      </c>
      <c r="B26" s="5">
        <v>0.22894</v>
      </c>
      <c r="C26" s="5">
        <v>3.61</v>
      </c>
      <c r="D26" s="5">
        <v>0.28766000000000003</v>
      </c>
      <c r="E26" s="5">
        <v>0.32865526571506398</v>
      </c>
      <c r="F26">
        <v>0.33889254418541997</v>
      </c>
      <c r="G26">
        <v>0.22872395707572399</v>
      </c>
      <c r="H26">
        <v>0.228968229970333</v>
      </c>
      <c r="I26" s="5">
        <f t="shared" si="2"/>
        <v>2.7179843601895736E-3</v>
      </c>
      <c r="J26" s="5">
        <f>((C26/$P26)*$Q26)*10^3</f>
        <v>4.2858056872037913E-2</v>
      </c>
      <c r="K26" s="5">
        <f>((D26/$P26)*$Q26)*10^3</f>
        <v>3.4151104265402847E-3</v>
      </c>
      <c r="L26" s="5">
        <f>((E26/$P26)*$Q26)*10^3</f>
        <v>3.9018077754323947E-3</v>
      </c>
      <c r="M26" s="5">
        <f t="shared" si="3"/>
        <v>4.0233451335757201E-3</v>
      </c>
      <c r="N26" s="5">
        <f t="shared" si="3"/>
        <v>2.7154194904013677E-3</v>
      </c>
      <c r="O26" s="5">
        <f t="shared" si="3"/>
        <v>2.7183195074676975E-3</v>
      </c>
      <c r="P26" s="5">
        <v>4220</v>
      </c>
      <c r="Q26" s="5">
        <v>5.0099999999999999E-2</v>
      </c>
      <c r="R26" s="5"/>
      <c r="S26" s="5"/>
      <c r="T26" s="5"/>
      <c r="U26" s="5"/>
      <c r="V26" s="5"/>
      <c r="W26" s="5"/>
    </row>
    <row r="27" spans="1:23">
      <c r="A27" s="6" t="s">
        <v>42</v>
      </c>
      <c r="B27" s="5">
        <v>21.360119999999998</v>
      </c>
      <c r="C27" s="5">
        <v>72.959999999999994</v>
      </c>
      <c r="D27" s="5">
        <v>12.62703</v>
      </c>
      <c r="E27" s="5">
        <v>30.517277664262298</v>
      </c>
      <c r="F27">
        <v>26.499944802758499</v>
      </c>
      <c r="G27">
        <v>17.716616438008401</v>
      </c>
      <c r="H27">
        <v>30.611873054281102</v>
      </c>
      <c r="I27" s="5">
        <f t="shared" si="2"/>
        <v>2.0708101684981683E-3</v>
      </c>
      <c r="J27" s="5">
        <f>((C27/$P27)*$Q27)*10^3</f>
        <v>7.0732893772893768E-3</v>
      </c>
      <c r="K27" s="5">
        <f>((D27/$P27)*$Q27)*10^3</f>
        <v>1.2241589523809525E-3</v>
      </c>
      <c r="L27" s="5">
        <f>((E27/$P27)*$Q27)*10^3</f>
        <v>2.9585736832019862E-3</v>
      </c>
      <c r="M27" s="5">
        <f t="shared" si="3"/>
        <v>2.5691033178742669E-3</v>
      </c>
      <c r="N27" s="5">
        <f t="shared" si="3"/>
        <v>1.7175816180437936E-3</v>
      </c>
      <c r="O27" s="5">
        <f t="shared" si="3"/>
        <v>2.9677444694870812E-3</v>
      </c>
      <c r="P27" s="5">
        <v>819000</v>
      </c>
      <c r="Q27" s="5">
        <v>7.9399999999999998E-2</v>
      </c>
      <c r="R27" s="5"/>
      <c r="S27" s="5"/>
      <c r="T27" s="5"/>
      <c r="U27" s="5"/>
      <c r="V27" s="5"/>
      <c r="W27" s="5"/>
    </row>
    <row r="28" spans="1:23">
      <c r="A28" s="6" t="s">
        <v>43</v>
      </c>
      <c r="B28" s="5">
        <v>4.3863899999999999E-5</v>
      </c>
      <c r="C28" s="5">
        <v>8.8700000000000001E-5</v>
      </c>
      <c r="D28" s="5">
        <v>2.1000000000000001E-4</v>
      </c>
      <c r="E28" s="5">
        <v>1.5797157368960099E-5</v>
      </c>
      <c r="F28" s="10">
        <v>1.2640790471411299E-4</v>
      </c>
      <c r="G28" s="10">
        <v>4.39462817781638E-5</v>
      </c>
      <c r="H28" s="10">
        <v>4.4024575680227999E-5</v>
      </c>
      <c r="I28" s="5">
        <f t="shared" si="2"/>
        <v>5.2071139150943399E-2</v>
      </c>
      <c r="J28" s="5">
        <f>((C28/$P28)*$Q28)*10^3</f>
        <v>0.10529638364779872</v>
      </c>
      <c r="K28" s="5">
        <f>((D28/$P28)*$Q28)*10^3</f>
        <v>0.24929245283018869</v>
      </c>
      <c r="L28" s="5">
        <f>((E28/$P28)*$Q28)*10^3</f>
        <v>1.8752914801202634E-2</v>
      </c>
      <c r="M28" s="5">
        <f t="shared" si="3"/>
        <v>0.15005969820621901</v>
      </c>
      <c r="N28" s="5">
        <f t="shared" si="3"/>
        <v>5.216893512973847E-2</v>
      </c>
      <c r="O28" s="5">
        <f t="shared" si="3"/>
        <v>5.2261878362534805E-2</v>
      </c>
      <c r="P28" s="5">
        <v>6.3600000000000004E-2</v>
      </c>
      <c r="Q28" s="5">
        <v>7.5499999999999998E-2</v>
      </c>
      <c r="R28" s="5"/>
      <c r="S28" s="5"/>
      <c r="T28" s="5"/>
      <c r="U28" s="5"/>
      <c r="V28" s="5"/>
      <c r="W28" s="5"/>
    </row>
    <row r="29" spans="1:23">
      <c r="A29" s="6" t="s">
        <v>44</v>
      </c>
      <c r="B29" s="5">
        <v>1.62732E-7</v>
      </c>
      <c r="C29" s="5">
        <v>4.4399999999999998E-6</v>
      </c>
      <c r="D29" s="5">
        <v>1.1408500000000001E-7</v>
      </c>
      <c r="E29" s="5">
        <v>1.0372691943127E-7</v>
      </c>
      <c r="F29" s="10">
        <v>3.7965076868851901E-8</v>
      </c>
      <c r="G29" s="10">
        <v>1.6182487172341899E-7</v>
      </c>
      <c r="H29" s="10">
        <v>1.6273539073933699E-7</v>
      </c>
      <c r="I29" s="5">
        <f t="shared" si="2"/>
        <v>1.9633631357552584E-4</v>
      </c>
      <c r="J29" s="5">
        <f>((C29/$P29)*$Q29)*10^3</f>
        <v>5.3568642447418737E-3</v>
      </c>
      <c r="K29" s="5">
        <f>((D29/$P29)*$Q29)*10^3</f>
        <v>1.3764366156787764E-4</v>
      </c>
      <c r="L29" s="5">
        <f>((E29/$P29)*$Q29)*10^3</f>
        <v>1.251466274591422E-4</v>
      </c>
      <c r="M29" s="5">
        <f t="shared" si="3"/>
        <v>4.58049015377544E-5</v>
      </c>
      <c r="N29" s="5">
        <f t="shared" si="3"/>
        <v>1.9524186244259542E-4</v>
      </c>
      <c r="O29" s="5">
        <f t="shared" si="3"/>
        <v>1.9634040450577754E-4</v>
      </c>
      <c r="P29" s="5">
        <v>5.2299999999999999E-2</v>
      </c>
      <c r="Q29" s="5">
        <v>6.3100000000000003E-2</v>
      </c>
      <c r="R29" s="5"/>
      <c r="S29" s="5"/>
      <c r="T29" s="5"/>
      <c r="U29" s="5"/>
      <c r="V29" s="5"/>
      <c r="W29" s="5"/>
    </row>
    <row r="30" spans="1:23">
      <c r="A30" s="6" t="s">
        <v>45</v>
      </c>
      <c r="B30" s="5">
        <v>2.0781999999999999E-7</v>
      </c>
      <c r="C30" s="5">
        <v>1.44E-6</v>
      </c>
      <c r="D30" s="5">
        <v>2.1208999999999999E-7</v>
      </c>
      <c r="E30" s="5">
        <v>1.6334723611815E-6</v>
      </c>
      <c r="F30" s="10">
        <v>4.3470352587287298E-7</v>
      </c>
      <c r="G30" s="10">
        <v>2.26208466786137E-7</v>
      </c>
      <c r="H30" s="10">
        <v>2.3337267951057299E-7</v>
      </c>
      <c r="I30" s="5">
        <f t="shared" si="2"/>
        <v>3.1295247058823528E-2</v>
      </c>
      <c r="J30" s="5">
        <f t="shared" ref="J30:J33" si="4">((C30/$P30)*$Q30)*10^3</f>
        <v>0.21684705882352939</v>
      </c>
      <c r="K30" s="5">
        <f t="shared" ref="K30:K33" si="5">((D30/$P30)*$Q30)*10^3</f>
        <v>3.1938258823529408E-2</v>
      </c>
      <c r="L30" s="5">
        <f t="shared" ref="L30:L33" si="6">((E30/$P30)*$Q30)*10^3</f>
        <v>0.24598172027203757</v>
      </c>
      <c r="M30" s="5">
        <f t="shared" si="3"/>
        <v>6.5461236837326756E-2</v>
      </c>
      <c r="N30" s="5">
        <f t="shared" si="3"/>
        <v>3.4064333821912395E-2</v>
      </c>
      <c r="O30" s="5">
        <f t="shared" si="3"/>
        <v>3.5143179973356871E-2</v>
      </c>
      <c r="P30" s="5">
        <v>5.9500000000000004E-4</v>
      </c>
      <c r="Q30" s="5">
        <v>8.9599999999999999E-2</v>
      </c>
      <c r="R30" s="5"/>
      <c r="S30" s="5"/>
      <c r="T30" s="5"/>
      <c r="U30" s="5"/>
      <c r="V30" s="5"/>
      <c r="W30" s="5"/>
    </row>
    <row r="31" spans="1:23">
      <c r="A31" s="6" t="s">
        <v>46</v>
      </c>
      <c r="B31" s="5">
        <v>1.8519999999999998E-2</v>
      </c>
      <c r="C31" s="5">
        <v>0.13</v>
      </c>
      <c r="D31" s="5">
        <v>1.8939999999999999E-2</v>
      </c>
      <c r="E31" s="5">
        <v>6.8474326638603006E-2</v>
      </c>
      <c r="F31">
        <v>1.8003456686545599E-2</v>
      </c>
      <c r="G31">
        <v>1.8531801887457702E-2</v>
      </c>
      <c r="H31">
        <v>1.8744572949002499E-2</v>
      </c>
      <c r="I31" s="5">
        <f t="shared" si="2"/>
        <v>2.164440097799511E-2</v>
      </c>
      <c r="J31" s="5">
        <f t="shared" si="4"/>
        <v>0.1519315403422983</v>
      </c>
      <c r="K31" s="5">
        <f t="shared" si="5"/>
        <v>2.2135256723716381E-2</v>
      </c>
      <c r="L31" s="5">
        <f t="shared" si="6"/>
        <v>8.0026230154650962E-2</v>
      </c>
      <c r="M31" s="5">
        <f t="shared" si="3"/>
        <v>2.1040714660559404E-2</v>
      </c>
      <c r="N31" s="5">
        <f t="shared" si="3"/>
        <v>2.1658193892921229E-2</v>
      </c>
      <c r="O31" s="5">
        <f t="shared" si="3"/>
        <v>2.1906860316927127E-2</v>
      </c>
      <c r="P31" s="5">
        <v>40.9</v>
      </c>
      <c r="Q31" s="5">
        <v>4.7800000000000002E-2</v>
      </c>
      <c r="R31" s="5"/>
      <c r="S31" s="5"/>
      <c r="T31" s="5"/>
      <c r="U31" s="5"/>
      <c r="V31" s="5"/>
      <c r="W31" s="5"/>
    </row>
    <row r="32" spans="1:23">
      <c r="A32" s="6" t="s">
        <v>47</v>
      </c>
      <c r="B32" s="5">
        <v>1.2750300000000001</v>
      </c>
      <c r="C32" s="5">
        <v>12.23</v>
      </c>
      <c r="D32" s="5">
        <v>1.04844</v>
      </c>
      <c r="E32" s="5">
        <v>4.7864387098224404</v>
      </c>
      <c r="F32">
        <v>1.6102483758200401</v>
      </c>
      <c r="G32">
        <v>2.48536830711737</v>
      </c>
      <c r="H32">
        <v>2.1530621718153902</v>
      </c>
      <c r="I32" s="5">
        <f t="shared" si="2"/>
        <v>9.4352220000000001E-3</v>
      </c>
      <c r="J32" s="5">
        <f t="shared" si="4"/>
        <v>9.0501999999999999E-2</v>
      </c>
      <c r="K32" s="5">
        <f t="shared" si="5"/>
        <v>7.7584560000000004E-3</v>
      </c>
      <c r="L32" s="5">
        <f t="shared" si="6"/>
        <v>3.5419646452686054E-2</v>
      </c>
      <c r="M32" s="5">
        <f t="shared" si="3"/>
        <v>1.1915837981068295E-2</v>
      </c>
      <c r="N32" s="5">
        <f t="shared" si="3"/>
        <v>1.8391725472668537E-2</v>
      </c>
      <c r="O32" s="5">
        <f t="shared" si="3"/>
        <v>1.5932660071433888E-2</v>
      </c>
      <c r="P32" s="5">
        <v>11500</v>
      </c>
      <c r="Q32" s="5">
        <v>8.5099999999999995E-2</v>
      </c>
      <c r="R32" s="5"/>
      <c r="S32" s="5"/>
      <c r="T32" s="5"/>
      <c r="U32" s="5"/>
      <c r="V32" s="5"/>
      <c r="W32" s="5"/>
    </row>
    <row r="33" spans="1:23" ht="15.75">
      <c r="A33" s="6" t="s">
        <v>55</v>
      </c>
      <c r="B33" s="5"/>
      <c r="C33" s="5"/>
      <c r="D33" s="5"/>
      <c r="E33" s="5"/>
      <c r="F33" s="5"/>
      <c r="G33" s="5"/>
      <c r="H33" s="5"/>
      <c r="I33" s="8">
        <f>SUM(I14:I32)</f>
        <v>0.59156457038133869</v>
      </c>
      <c r="J33" s="8">
        <f t="shared" ref="J33:L33" si="7">SUM(J14:J32)</f>
        <v>4.9818999834348592</v>
      </c>
      <c r="K33" s="8">
        <f t="shared" si="7"/>
        <v>0.68826705994897452</v>
      </c>
      <c r="L33" s="8">
        <f t="shared" si="7"/>
        <v>1.5841710884702902</v>
      </c>
      <c r="M33" s="8">
        <f t="shared" ref="M33:O33" si="8">SUM(M14:M32)</f>
        <v>0.76623109986441162</v>
      </c>
      <c r="N33" s="8">
        <f t="shared" si="8"/>
        <v>0.55484766857284984</v>
      </c>
      <c r="O33" s="8">
        <f t="shared" si="8"/>
        <v>0.56533715113607519</v>
      </c>
      <c r="P33" s="5"/>
      <c r="Q33" s="5"/>
      <c r="R33" s="5"/>
      <c r="S33" s="5"/>
      <c r="T33" s="5"/>
      <c r="U33" s="5"/>
      <c r="V33" s="5"/>
      <c r="W33" s="5"/>
    </row>
    <row r="34" spans="1:23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>
      <c r="A35" s="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66"/>
  <sheetViews>
    <sheetView workbookViewId="0">
      <pane xSplit="1" topLeftCell="B1" activePane="topRight" state="frozen"/>
      <selection pane="topRight" activeCell="L366" sqref="L366:T366"/>
      <selection activeCell="A6" sqref="A6"/>
    </sheetView>
  </sheetViews>
  <sheetFormatPr defaultColWidth="9.140625" defaultRowHeight="15" outlineLevelRow="1"/>
  <cols>
    <col min="1" max="1" width="22.28515625" customWidth="1"/>
    <col min="2" max="2" width="13.85546875" bestFit="1" customWidth="1"/>
    <col min="3" max="3" width="14.7109375" bestFit="1" customWidth="1"/>
    <col min="4" max="4" width="20.85546875" bestFit="1" customWidth="1"/>
    <col min="5" max="5" width="21.140625" bestFit="1" customWidth="1"/>
    <col min="6" max="7" width="21.5703125" bestFit="1" customWidth="1"/>
    <col min="8" max="8" width="21.85546875" bestFit="1" customWidth="1"/>
    <col min="9" max="9" width="28.85546875" bestFit="1" customWidth="1"/>
    <col min="10" max="10" width="22.5703125" bestFit="1" customWidth="1"/>
    <col min="11" max="11" width="16.85546875" bestFit="1" customWidth="1"/>
    <col min="12" max="12" width="15.5703125" bestFit="1" customWidth="1"/>
    <col min="13" max="13" width="14.5703125" customWidth="1"/>
    <col min="14" max="20" width="12.5703125" bestFit="1" customWidth="1"/>
    <col min="30" max="30" width="16.5703125" bestFit="1" customWidth="1"/>
    <col min="31" max="31" width="15.7109375" bestFit="1" customWidth="1"/>
    <col min="32" max="32" width="18.140625" bestFit="1" customWidth="1"/>
    <col min="34" max="34" width="23.140625" bestFit="1" customWidth="1"/>
    <col min="35" max="35" width="15.5703125" bestFit="1" customWidth="1"/>
  </cols>
  <sheetData>
    <row r="1" spans="1:39" ht="21">
      <c r="A1" s="43" t="s">
        <v>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</row>
    <row r="2" spans="1:39">
      <c r="A2" s="2" t="s">
        <v>57</v>
      </c>
      <c r="B2" t="str">
        <f>DATA!B3</f>
        <v>cout</v>
      </c>
      <c r="C2" t="str">
        <f>DATA!C3</f>
        <v>cout</v>
      </c>
      <c r="D2" t="str">
        <f>DATA!D3</f>
        <v>benefice</v>
      </c>
      <c r="E2" t="str">
        <f>DATA!E3</f>
        <v>benefice</v>
      </c>
      <c r="F2" t="str">
        <f>DATA!F3</f>
        <v>benefice</v>
      </c>
      <c r="G2" t="str">
        <f>DATA!G3</f>
        <v>benefice</v>
      </c>
      <c r="H2" t="str">
        <f>DATA!H3</f>
        <v>benefice</v>
      </c>
      <c r="I2" t="str">
        <f>DATA!I3</f>
        <v>cout</v>
      </c>
      <c r="J2" t="str">
        <f>DATA!J3</f>
        <v>cout</v>
      </c>
      <c r="AA2" t="s">
        <v>58</v>
      </c>
    </row>
    <row r="3" spans="1:3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39">
      <c r="A4" s="2" t="s">
        <v>59</v>
      </c>
      <c r="B4">
        <f>DATA!B7</f>
        <v>0.10360018488752755</v>
      </c>
      <c r="C4">
        <f>DATA!C7</f>
        <v>0.1068127462358406</v>
      </c>
      <c r="D4">
        <f>DATA!D7</f>
        <v>7.9132717070794265E-2</v>
      </c>
      <c r="E4">
        <f>DATA!E7</f>
        <v>9.7058973254572439E-2</v>
      </c>
      <c r="F4">
        <f>DATA!F7</f>
        <v>0.10913698182257225</v>
      </c>
      <c r="G4">
        <f>DATA!G7</f>
        <v>7.7157486053399893E-2</v>
      </c>
      <c r="H4">
        <f>DATA!H7</f>
        <v>8.7306731995283063E-2</v>
      </c>
      <c r="I4">
        <f>DATA!I7</f>
        <v>0.22601941403203732</v>
      </c>
      <c r="J4">
        <f>DATA!J7</f>
        <v>0.11377476464797265</v>
      </c>
      <c r="K4">
        <f>SUM(B4:J4)</f>
        <v>1</v>
      </c>
      <c r="L4" t="s">
        <v>60</v>
      </c>
      <c r="U4" t="s">
        <v>61</v>
      </c>
    </row>
    <row r="5" spans="1:39">
      <c r="L5" s="1" t="s">
        <v>62</v>
      </c>
      <c r="M5" s="1" t="s">
        <v>63</v>
      </c>
      <c r="N5" s="1" t="s">
        <v>64</v>
      </c>
      <c r="O5" s="1" t="s">
        <v>65</v>
      </c>
      <c r="P5" s="1" t="s">
        <v>66</v>
      </c>
      <c r="Q5" s="1" t="s">
        <v>67</v>
      </c>
      <c r="R5" s="1" t="s">
        <v>68</v>
      </c>
      <c r="S5" s="1" t="s">
        <v>69</v>
      </c>
      <c r="T5" s="1" t="s">
        <v>70</v>
      </c>
      <c r="U5" s="1" t="s">
        <v>71</v>
      </c>
      <c r="V5" s="1" t="s">
        <v>72</v>
      </c>
      <c r="W5" s="1" t="s">
        <v>73</v>
      </c>
      <c r="X5" s="1" t="s">
        <v>74</v>
      </c>
      <c r="Y5" s="1" t="s">
        <v>75</v>
      </c>
      <c r="Z5" s="1" t="s">
        <v>76</v>
      </c>
      <c r="AA5" s="1" t="s">
        <v>77</v>
      </c>
      <c r="AB5" s="1" t="s">
        <v>78</v>
      </c>
      <c r="AC5" s="1" t="s">
        <v>79</v>
      </c>
      <c r="AD5" s="1" t="s">
        <v>80</v>
      </c>
      <c r="AE5" s="1" t="s">
        <v>81</v>
      </c>
      <c r="AF5" s="1" t="s">
        <v>82</v>
      </c>
      <c r="AH5" s="1" t="s">
        <v>83</v>
      </c>
      <c r="AI5" s="1" t="s">
        <v>84</v>
      </c>
      <c r="AJ5" s="1" t="s">
        <v>85</v>
      </c>
    </row>
    <row r="6" spans="1:39">
      <c r="A6" t="str">
        <f>IF(DATA!A8="","",DATA!A8)</f>
        <v>Flax/Epoxy</v>
      </c>
      <c r="B6">
        <f>IF(DATA!B8="","",DATA!B8)</f>
        <v>0.59</v>
      </c>
      <c r="C6">
        <f>IF(DATA!C8="","",DATA!C8)</f>
        <v>1.35</v>
      </c>
      <c r="D6">
        <f>IF(DATA!D8="","",DATA!D8)</f>
        <v>35</v>
      </c>
      <c r="E6">
        <f>IF(DATA!E8="","",DATA!E8)</f>
        <v>610</v>
      </c>
      <c r="F6">
        <f>IF(DATA!F8="","",DATA!F8)</f>
        <v>1.8</v>
      </c>
      <c r="G6">
        <f>IF(DATA!G8="","",DATA!G8)</f>
        <v>39</v>
      </c>
      <c r="H6">
        <f>IF(DATA!H8="","",DATA!H8)</f>
        <v>520</v>
      </c>
      <c r="I6" s="10">
        <f>IF(DATA!I8="","",DATA!I8)</f>
        <v>1.9999999999999998E-5</v>
      </c>
      <c r="J6">
        <f>IF(DATA!J8="","",DATA!J8)</f>
        <v>3.8</v>
      </c>
      <c r="L6">
        <f>IF(B6="","",B6/SQRT(SUMSQ(B$6:B$105)))</f>
        <v>0.10892117951976596</v>
      </c>
      <c r="M6">
        <f t="shared" ref="M6:M37" si="0">IF(C6="","",C6/SQRT(SUMSQ(C$6:C$105)))</f>
        <v>0.15076037246105364</v>
      </c>
      <c r="N6">
        <f t="shared" ref="N6:N37" si="1">IF(D6="","",D6/SQRT(SUMSQ(D$6:D$105)))</f>
        <v>0.13938472000078958</v>
      </c>
      <c r="O6">
        <f t="shared" ref="O6:O37" si="2">IF(E6="","",E6/SQRT(SUMSQ(E$6:E$105)))</f>
        <v>0.2279584864391013</v>
      </c>
      <c r="P6">
        <f t="shared" ref="P6:P37" si="3">IF(F6="","",F6/SQRT(SUMSQ(F$6:F$105)))</f>
        <v>4.4610487433809937E-2</v>
      </c>
      <c r="Q6">
        <f t="shared" ref="Q6:Q37" si="4">IF(G6="","",G6/SQRT(SUMSQ(G$6:G$105)))</f>
        <v>0.15020121777241927</v>
      </c>
      <c r="R6">
        <f t="shared" ref="R6:R37" si="5">IF(H6="","",H6/SQRT(SUMSQ(H$6:H$105)))</f>
        <v>0.21957744390925693</v>
      </c>
      <c r="S6">
        <f t="shared" ref="S6:S37" si="6">IF(I6="","",I6/SQRT(SUMSQ(I$6:I$105)))</f>
        <v>0.31714562923948225</v>
      </c>
      <c r="T6">
        <f t="shared" ref="T6:T37" si="7">IF(J6="","",J6/SQRT(SUMSQ(J$6:J$105)))</f>
        <v>0.16033755274261602</v>
      </c>
      <c r="U6">
        <f>IF(L6="","",L6*$B$4)</f>
        <v>1.1284254336415332E-2</v>
      </c>
      <c r="V6">
        <f>IF(M6="","",M6*$C$4)</f>
        <v>1.6103129406103332E-2</v>
      </c>
      <c r="W6">
        <f>IF(N6="","",N6*$D$4)</f>
        <v>1.102989161181436E-2</v>
      </c>
      <c r="X6">
        <f>IF(O6="","",O6*$E$4)</f>
        <v>2.2125416638445548E-2</v>
      </c>
      <c r="Y6">
        <f>IF(P6="","",P6*$F$4)</f>
        <v>4.8686539561598029E-3</v>
      </c>
      <c r="Z6">
        <f>IF(Q6="","",Q6*$G$4)</f>
        <v>1.158914836547912E-2</v>
      </c>
      <c r="AA6">
        <f>IF(R6="","",R6*$H$4)</f>
        <v>1.9170589047594794E-2</v>
      </c>
      <c r="AB6">
        <f>IF(S6="","",S6*$I$4)</f>
        <v>7.1681069283529533E-2</v>
      </c>
      <c r="AC6">
        <f>IF(T6="","",T6*$J$4)</f>
        <v>1.8242367327523039E-2</v>
      </c>
      <c r="AD6" cm="1">
        <f t="array" ref="AD6">IF(SUM(U6:AC6)=0,"",SQRT(SUMPRODUCT((U6:AC6-U$113:AC$113)*(U6:AC6-U$113:AC$113))))</f>
        <v>0.1779402381464891</v>
      </c>
      <c r="AE6" cm="1">
        <f t="array" ref="AE6">IF(SUM(U6:AC6)=0,"",SQRT(SUMPRODUCT((U6:AC6-U$114:AC$114)*(U6:AC6-U$114:AC$114))))</f>
        <v>0.15141379549397688</v>
      </c>
      <c r="AF6">
        <f>IF(OR(AD6="",AE6=""),"",AE6/(AD6+AE6))</f>
        <v>0.45972959195412588</v>
      </c>
      <c r="AH6" t="str" cm="1">
        <f t="array" ref="AH6:AH12">IFERROR(_xlfn.SORTBY(_xlfn._xlws.FILTER(A6:A105,A6:A105&lt;&gt;""), _xlfn._xlws.FILTER(AF6:AF105,A6:A105&lt;&gt;""), -1), "")</f>
        <v>Hemp/Epoxy</v>
      </c>
      <c r="AI6" cm="1">
        <f t="array" ref="AI6:AI12">IFERROR(_xlfn._xlws.SORT(_xlfn._xlws.FILTER(AF6:AF105,A6:A105&lt;&gt;""), 1, -1), "")</f>
        <v>0.73113089099900552</v>
      </c>
      <c r="AJ6" cm="1">
        <f t="array" ref="AJ6:AJ12">IF(AH6="","",_xlfn.SEQUENCE(COUNTA(_xlfn._xlws.FILTER(A6:A105,A6:A105&lt;&gt;""))))</f>
        <v>1</v>
      </c>
    </row>
    <row r="7" spans="1:39">
      <c r="A7" t="str">
        <f>IF(DATA!A9="","",DATA!A9)</f>
        <v>Carbon/Epoxy</v>
      </c>
      <c r="B7">
        <f>IF(DATA!B9="","",DATA!B9)</f>
        <v>4.9800000000000004</v>
      </c>
      <c r="C7">
        <f>IF(DATA!C9="","",DATA!C9)</f>
        <v>1.42</v>
      </c>
      <c r="D7">
        <f>IF(DATA!D9="","",DATA!D9)</f>
        <v>120</v>
      </c>
      <c r="E7">
        <f>IF(DATA!E9="","",DATA!E9)</f>
        <v>2135</v>
      </c>
      <c r="F7">
        <f>IF(DATA!F9="","",DATA!F9)</f>
        <v>1.1499999999999999</v>
      </c>
      <c r="G7">
        <f>IF(DATA!G9="","",DATA!G9)</f>
        <v>134</v>
      </c>
      <c r="H7">
        <f>IF(DATA!H9="","",DATA!H9)</f>
        <v>1815</v>
      </c>
      <c r="I7" s="10">
        <f>IF(DATA!I9="","",DATA!I9)</f>
        <v>2.9799999999999998E-6</v>
      </c>
      <c r="J7">
        <f>IF(DATA!J9="","",DATA!J9)</f>
        <v>20</v>
      </c>
      <c r="L7">
        <f>IF(B7="","",B7/SQRT(SUMSQ(B$6:B$105)))</f>
        <v>0.91936860001429588</v>
      </c>
      <c r="M7">
        <f t="shared" si="0"/>
        <v>0.15857757695903418</v>
      </c>
      <c r="N7">
        <f t="shared" si="1"/>
        <v>0.4778904685741357</v>
      </c>
      <c r="O7">
        <f t="shared" si="2"/>
        <v>0.79785470253685464</v>
      </c>
      <c r="P7">
        <f t="shared" si="3"/>
        <v>2.8501144749378569E-2</v>
      </c>
      <c r="Q7">
        <f t="shared" si="4"/>
        <v>0.51607597901292768</v>
      </c>
      <c r="R7">
        <f t="shared" si="5"/>
        <v>0.76640973210634877</v>
      </c>
      <c r="S7">
        <f t="shared" si="6"/>
        <v>4.725469875668286E-2</v>
      </c>
      <c r="T7">
        <f t="shared" si="7"/>
        <v>0.8438818565400843</v>
      </c>
      <c r="U7">
        <f t="shared" ref="U7:U9" si="8">IF(L7="","",L7*$B$4)</f>
        <v>9.5246756941268412E-2</v>
      </c>
      <c r="V7">
        <f t="shared" ref="V7:V9" si="9">IF(M7="","",M7*$C$4)</f>
        <v>1.6938106486419802E-2</v>
      </c>
      <c r="W7">
        <f t="shared" ref="W7:W9" si="10">IF(N7="","",N7*$D$4)</f>
        <v>3.7816771240506378E-2</v>
      </c>
      <c r="X7">
        <f t="shared" ref="X7:X9" si="11">IF(O7="","",O7*$E$4)</f>
        <v>7.743895823455943E-2</v>
      </c>
      <c r="Y7">
        <f t="shared" ref="Y7:Y9" si="12">IF(P7="","",P7*$F$4)</f>
        <v>3.1105289164354297E-3</v>
      </c>
      <c r="Z7">
        <f t="shared" ref="Z7:Z9" si="13">IF(Q7="","",Q7*$G$4)</f>
        <v>3.9819125153184663E-2</v>
      </c>
      <c r="AA7">
        <f t="shared" ref="AA7:AA9" si="14">IF(R7="","",R7*$H$4)</f>
        <v>6.6912729079585676E-2</v>
      </c>
      <c r="AB7">
        <f t="shared" ref="AB7:AB9" si="15">IF(S7="","",S7*$I$4)</f>
        <v>1.0680479323245902E-2</v>
      </c>
      <c r="AC7">
        <f t="shared" ref="AC7:AC9" si="16">IF(T7="","",T7*$J$4)</f>
        <v>9.6012459618542309E-2</v>
      </c>
      <c r="AD7" cm="1">
        <f t="array" ref="AD7">IF(SUM(U7:AC7)=0,"",SQRT(SUMPRODUCT((U7:AC7-U$113:AC$113)*(U7:AC7-U$113:AC$113))))</f>
        <v>0.17399991202892096</v>
      </c>
      <c r="AE7" cm="1">
        <f t="array" ref="AE7">IF(SUM(U7:AC7)=0,"",SQRT(SUMPRODUCT((U7:AC7-U$114:AC$114)*(U7:AC7-U$114:AC$114))))</f>
        <v>0.17111110256378095</v>
      </c>
      <c r="AF7">
        <f t="shared" ref="AF7:AF9" si="17">IF(OR(AD7="",AE7=""),"",AE7/(AD7+AE7))</f>
        <v>0.49581466637836907</v>
      </c>
      <c r="AH7" t="str">
        <v>Jute/epoxy</v>
      </c>
      <c r="AI7">
        <v>0.72047065421262602</v>
      </c>
      <c r="AJ7">
        <v>2</v>
      </c>
    </row>
    <row r="8" spans="1:39">
      <c r="A8" t="str">
        <f>IF(DATA!A10="","",DATA!A10)</f>
        <v>Glass/Epoxy</v>
      </c>
      <c r="B8">
        <f>IF(DATA!B10="","",DATA!B10)</f>
        <v>0.69</v>
      </c>
      <c r="C8">
        <f>IF(DATA!C10="","",DATA!C10)</f>
        <v>1.8</v>
      </c>
      <c r="D8">
        <f>IF(DATA!D10="","",DATA!D10)</f>
        <v>40</v>
      </c>
      <c r="E8">
        <f>IF(DATA!E10="","",DATA!E10)</f>
        <v>1135</v>
      </c>
      <c r="F8">
        <f>IF(DATA!F10="","",DATA!F10)</f>
        <v>1.3</v>
      </c>
      <c r="G8">
        <f>IF(DATA!G10="","",DATA!G10)</f>
        <v>43</v>
      </c>
      <c r="H8">
        <f>IF(DATA!H10="","",DATA!H10)</f>
        <v>965</v>
      </c>
      <c r="I8" s="10">
        <f>IF(DATA!I10="","",DATA!I10)</f>
        <v>3.4999999999999997E-5</v>
      </c>
      <c r="J8">
        <f>IF(DATA!J10="","",DATA!J10)</f>
        <v>4</v>
      </c>
      <c r="L8">
        <f t="shared" ref="L6:L37" si="18">IF(B8="","",B8/SQRT(SUMSQ(B$6:B$105)))</f>
        <v>0.12738239638752291</v>
      </c>
      <c r="M8">
        <f t="shared" si="0"/>
        <v>0.20101382994807154</v>
      </c>
      <c r="N8">
        <f t="shared" si="1"/>
        <v>0.15929682285804522</v>
      </c>
      <c r="O8">
        <f t="shared" si="2"/>
        <v>0.4241522657514426</v>
      </c>
      <c r="P8">
        <f t="shared" si="3"/>
        <v>3.2218685368862736E-2</v>
      </c>
      <c r="Q8">
        <f t="shared" si="4"/>
        <v>0.16560647087728278</v>
      </c>
      <c r="R8">
        <f t="shared" si="5"/>
        <v>0.40748506417775565</v>
      </c>
      <c r="S8">
        <f t="shared" si="6"/>
        <v>0.55500485116909393</v>
      </c>
      <c r="T8">
        <f t="shared" si="7"/>
        <v>0.16877637130801687</v>
      </c>
      <c r="U8">
        <f t="shared" si="8"/>
        <v>1.3196839817163694E-2</v>
      </c>
      <c r="V8">
        <f t="shared" si="9"/>
        <v>2.147083920813778E-2</v>
      </c>
      <c r="W8">
        <f t="shared" si="10"/>
        <v>1.2605590413502125E-2</v>
      </c>
      <c r="X8">
        <f t="shared" si="11"/>
        <v>4.1167783417435572E-2</v>
      </c>
      <c r="Y8">
        <f t="shared" si="12"/>
        <v>3.5162500794487469E-3</v>
      </c>
      <c r="Z8">
        <f t="shared" si="13"/>
        <v>1.2777778967066722E-2</v>
      </c>
      <c r="AA8">
        <f t="shared" si="14"/>
        <v>3.5576189290248028E-2</v>
      </c>
      <c r="AB8">
        <f t="shared" si="15"/>
        <v>0.1254418712461767</v>
      </c>
      <c r="AC8">
        <f t="shared" si="16"/>
        <v>1.9202491923708463E-2</v>
      </c>
      <c r="AD8" cm="1">
        <f t="array" ref="AD8">IF(SUM(U8:AC8)=0,"",SQRT(SUMPRODUCT((U8:AC8-U$113:AC$113)*(U8:AC8-U$113:AC$113))))</f>
        <v>0.19490224744911394</v>
      </c>
      <c r="AE8" cm="1">
        <f t="array" ref="AE8">IF(SUM(U8:AC8)=0,"",SQRT(SUMPRODUCT((U8:AC8-U$114:AC$114)*(U8:AC8-U$114:AC$114))))</f>
        <v>0.1414463865524431</v>
      </c>
      <c r="AF8">
        <f t="shared" si="17"/>
        <v>0.42053504088792676</v>
      </c>
      <c r="AH8" t="str">
        <v>Chromium steel template</v>
      </c>
      <c r="AI8">
        <v>0.52144013140945433</v>
      </c>
      <c r="AJ8">
        <v>3</v>
      </c>
    </row>
    <row r="9" spans="1:39">
      <c r="A9" t="str">
        <f>IF(DATA!A11="","",DATA!A11)</f>
        <v>Aluminium template</v>
      </c>
      <c r="B9">
        <f>IF(DATA!B11="","",DATA!B11)</f>
        <v>1.58</v>
      </c>
      <c r="C9">
        <f>IF(DATA!C11="","",DATA!C11)</f>
        <v>2.7</v>
      </c>
      <c r="D9">
        <f>IF(DATA!D11="","",DATA!D11)</f>
        <v>70</v>
      </c>
      <c r="E9">
        <f>IF(DATA!E11="","",DATA!E11)</f>
        <v>330</v>
      </c>
      <c r="F9">
        <f>IF(DATA!F11="","",DATA!F11)</f>
        <v>3.4</v>
      </c>
      <c r="G9">
        <f>IF(DATA!G11="","",DATA!G11)</f>
        <v>70</v>
      </c>
      <c r="H9">
        <f>IF(DATA!H11="","",DATA!H11)</f>
        <v>325</v>
      </c>
      <c r="I9" s="10">
        <f>IF(DATA!I11="","",DATA!I11)</f>
        <v>2.3E-5</v>
      </c>
      <c r="J9">
        <f>IF(DATA!J11="","",DATA!J11)</f>
        <v>10</v>
      </c>
      <c r="L9">
        <f t="shared" si="18"/>
        <v>0.29168722651055973</v>
      </c>
      <c r="M9">
        <f t="shared" si="0"/>
        <v>0.30152074492210729</v>
      </c>
      <c r="N9">
        <f t="shared" si="1"/>
        <v>0.27876944000157916</v>
      </c>
      <c r="O9">
        <f t="shared" si="2"/>
        <v>0.12332180413918596</v>
      </c>
      <c r="P9">
        <f t="shared" si="3"/>
        <v>8.4264254041640993E-2</v>
      </c>
      <c r="Q9">
        <f t="shared" si="4"/>
        <v>0.2695919293351115</v>
      </c>
      <c r="R9">
        <f t="shared" si="5"/>
        <v>0.1372359024432856</v>
      </c>
      <c r="S9">
        <f t="shared" si="6"/>
        <v>0.36471747362540463</v>
      </c>
      <c r="T9">
        <f t="shared" si="7"/>
        <v>0.42194092827004215</v>
      </c>
      <c r="U9">
        <f t="shared" si="8"/>
        <v>3.0218850595824114E-2</v>
      </c>
      <c r="V9">
        <f t="shared" si="9"/>
        <v>3.2206258812206665E-2</v>
      </c>
      <c r="W9">
        <f t="shared" si="10"/>
        <v>2.2059783223628719E-2</v>
      </c>
      <c r="X9">
        <f t="shared" si="11"/>
        <v>1.196948768965087E-2</v>
      </c>
      <c r="Y9">
        <f t="shared" si="12"/>
        <v>9.1963463616351829E-3</v>
      </c>
      <c r="Z9">
        <f t="shared" si="13"/>
        <v>2.0801035527783035E-2</v>
      </c>
      <c r="AA9">
        <f t="shared" si="14"/>
        <v>1.1981618154746748E-2</v>
      </c>
      <c r="AB9">
        <f t="shared" si="15"/>
        <v>8.2433229676058983E-2</v>
      </c>
      <c r="AC9">
        <f t="shared" si="16"/>
        <v>4.8006229809271155E-2</v>
      </c>
      <c r="AD9" cm="1">
        <f t="array" ref="AD9">IF(SUM(U9:AC9)=0,"",SQRT(SUMPRODUCT((U9:AC9-U$113:AC$113)*(U9:AC9-U$113:AC$113))))</f>
        <v>0.18217785793511454</v>
      </c>
      <c r="AE9" cm="1">
        <f t="array" ref="AE9">IF(SUM(U9:AC9)=0,"",SQRT(SUMPRODUCT((U9:AC9-U$114:AC$114)*(U9:AC9-U$114:AC$114))))</f>
        <v>0.11517282279662613</v>
      </c>
      <c r="AF9">
        <f t="shared" si="17"/>
        <v>0.38732994494312595</v>
      </c>
      <c r="AH9" t="str">
        <v>Carbon/Epoxy</v>
      </c>
      <c r="AI9">
        <v>0.49581466637836907</v>
      </c>
      <c r="AJ9">
        <v>4</v>
      </c>
    </row>
    <row r="10" spans="1:39">
      <c r="A10" t="str">
        <f>IF(DATA!A12="","",DATA!A12)</f>
        <v>Chromium steel template</v>
      </c>
      <c r="B10">
        <f>IF(DATA!B12="","",DATA!B12)</f>
        <v>0.77</v>
      </c>
      <c r="C10">
        <f>IF(DATA!C12="","",DATA!C12)</f>
        <v>7.9</v>
      </c>
      <c r="D10">
        <f>IF(DATA!D12="","",DATA!D12)</f>
        <v>200</v>
      </c>
      <c r="E10">
        <f>IF(DATA!E12="","",DATA!E12)</f>
        <v>750</v>
      </c>
      <c r="F10">
        <f>IF(DATA!F12="","",DATA!F12)</f>
        <v>40</v>
      </c>
      <c r="G10">
        <f>IF(DATA!G12="","",DATA!G12)</f>
        <v>200</v>
      </c>
      <c r="H10">
        <f>IF(DATA!H12="","",DATA!H12)</f>
        <v>900</v>
      </c>
      <c r="I10">
        <f>IF(DATA!I12="","",DATA!I12)</f>
        <v>1.7E-5</v>
      </c>
      <c r="J10">
        <f>IF(DATA!J12="","",DATA!J12)</f>
        <v>2.5</v>
      </c>
      <c r="L10">
        <f t="shared" si="18"/>
        <v>0.14215136988172847</v>
      </c>
      <c r="M10">
        <f t="shared" si="0"/>
        <v>0.88222736477209174</v>
      </c>
      <c r="N10">
        <f t="shared" si="1"/>
        <v>0.79648411429022614</v>
      </c>
      <c r="O10">
        <f t="shared" si="2"/>
        <v>0.28027682758905897</v>
      </c>
      <c r="P10">
        <f t="shared" si="3"/>
        <v>0.99134416519577639</v>
      </c>
      <c r="Q10">
        <f t="shared" si="4"/>
        <v>0.77026265524317572</v>
      </c>
      <c r="R10">
        <f t="shared" si="5"/>
        <v>0.38003788368909852</v>
      </c>
      <c r="S10">
        <f t="shared" si="6"/>
        <v>0.26957378485355993</v>
      </c>
      <c r="T10">
        <f t="shared" si="7"/>
        <v>0.10548523206751054</v>
      </c>
      <c r="U10">
        <f>IF(L10="","",L10*DATA!B4)</f>
        <v>1.5794438707558849E-2</v>
      </c>
      <c r="V10">
        <f>IF(M10="","",M10*DATA!C4)</f>
        <v>9.8024282499827115E-2</v>
      </c>
      <c r="W10">
        <f>IF(N10="","",N10*DATA!D4)</f>
        <v>8.8497349938787023E-2</v>
      </c>
      <c r="X10">
        <f>IF(O10="","",O10*DATA!E4)</f>
        <v>3.1141558313420342E-2</v>
      </c>
      <c r="Y10">
        <f>IF(P10="","",P10*DATA!F4)</f>
        <v>0.11014825019490272</v>
      </c>
      <c r="Z10">
        <f>IF(Q10="","",Q10*DATA!G4)</f>
        <v>8.5583883624069254E-2</v>
      </c>
      <c r="AA10">
        <f>IF(R10="","",R10*DATA!H4)</f>
        <v>4.2226009256695736E-2</v>
      </c>
      <c r="AB10">
        <f>IF(S10="","",S10*DATA!I4)</f>
        <v>2.9952343235079042E-2</v>
      </c>
      <c r="AC10">
        <f>IF(T10="","",T10*DATA!J4)</f>
        <v>1.1720464135021097E-2</v>
      </c>
      <c r="AD10">
        <f t="shared" ref="AD10:AD43" si="19">IF(U10="","",SQRT(SUMPRODUCT((U10:AC10-U116:AC116)^2)))</f>
        <v>0.20232297945069166</v>
      </c>
      <c r="AE10" cm="1">
        <f t="array" ref="AE10">IF(U10="","",SQRT(SUMPRODUCT((U10:AC10-U114:AC114)^2)))</f>
        <v>0.2204516674217534</v>
      </c>
      <c r="AF10">
        <f t="shared" ref="AF7:AF70" si="20">IF(OR(AD10="",AE10=""),"",AE10/(AD10+AE10))</f>
        <v>0.52144013140945433</v>
      </c>
      <c r="AH10" t="str">
        <v>Flax/Epoxy</v>
      </c>
      <c r="AI10">
        <v>0.45972959195412588</v>
      </c>
      <c r="AJ10">
        <v>5</v>
      </c>
    </row>
    <row r="11" spans="1:39">
      <c r="A11" t="str">
        <f>IF(DATA!A13="","",DATA!A13)</f>
        <v>Hemp/Epoxy</v>
      </c>
      <c r="B11">
        <f>IF(DATA!B13="","",DATA!B13)</f>
        <v>0.55000000000000004</v>
      </c>
      <c r="C11">
        <f>IF(DATA!C13="","",DATA!C13)</f>
        <v>1.31</v>
      </c>
      <c r="D11">
        <f>IF(DATA!D13="","",DATA!D13)</f>
        <v>28</v>
      </c>
      <c r="E11">
        <f>IF(DATA!E13="","",DATA!E13)</f>
        <v>398</v>
      </c>
      <c r="F11">
        <f>IF(DATA!F13="","",DATA!F13)</f>
        <v>2</v>
      </c>
      <c r="G11">
        <f>IF(DATA!G13="","",DATA!G13)</f>
        <v>32</v>
      </c>
      <c r="H11">
        <f>IF(DATA!H13="","",DATA!H13)</f>
        <v>340</v>
      </c>
      <c r="I11">
        <f>IF(DATA!I13="","",DATA!I13)</f>
        <v>2.4999999999999998E-5</v>
      </c>
      <c r="J11">
        <f>IF(DATA!J13="","",DATA!J13)</f>
        <v>4</v>
      </c>
      <c r="L11">
        <f t="shared" si="18"/>
        <v>0.1015366927726632</v>
      </c>
      <c r="M11">
        <f t="shared" si="0"/>
        <v>0.14629339846220762</v>
      </c>
      <c r="N11">
        <f t="shared" si="1"/>
        <v>0.11150777600063166</v>
      </c>
      <c r="O11">
        <f t="shared" si="2"/>
        <v>0.14873356984059397</v>
      </c>
      <c r="P11">
        <f t="shared" si="3"/>
        <v>4.9567208259788817E-2</v>
      </c>
      <c r="Q11">
        <f t="shared" si="4"/>
        <v>0.12324202483890812</v>
      </c>
      <c r="R11">
        <f t="shared" si="5"/>
        <v>0.14356986717143722</v>
      </c>
      <c r="S11">
        <f t="shared" si="6"/>
        <v>0.39643203654935283</v>
      </c>
      <c r="T11">
        <f t="shared" si="7"/>
        <v>0.16877637130801687</v>
      </c>
      <c r="U11">
        <f>IF(L11="","",L11*DATA!B4)</f>
        <v>1.1281741933970607E-2</v>
      </c>
      <c r="V11">
        <f>IF(M11="","",M11*DATA!C4)</f>
        <v>1.6254659503135888E-2</v>
      </c>
      <c r="W11">
        <f>IF(N11="","",N11*DATA!D4)</f>
        <v>1.2389628991430184E-2</v>
      </c>
      <c r="X11">
        <f>IF(O11="","",O11*DATA!E4)</f>
        <v>1.6525786944988397E-2</v>
      </c>
      <c r="Y11">
        <f>IF(P11="","",P11*DATA!F4)</f>
        <v>5.5074125097451356E-3</v>
      </c>
      <c r="Z11">
        <f>IF(Q11="","",Q11*DATA!G4)</f>
        <v>1.369342137985108E-2</v>
      </c>
      <c r="AA11">
        <f>IF(R11="","",R11*DATA!H4)</f>
        <v>1.5952047941418388E-2</v>
      </c>
      <c r="AB11">
        <f>IF(S11="","",S11*DATA!I4)</f>
        <v>4.4047563580998594E-2</v>
      </c>
      <c r="AC11">
        <f>IF(T11="","",T11*DATA!J4)</f>
        <v>1.8752742616033755E-2</v>
      </c>
      <c r="AD11">
        <f t="shared" si="19"/>
        <v>5.9851972611880772E-2</v>
      </c>
      <c r="AE11">
        <f>IF(U11="","",SQRT(SUMPRODUCT((U11:AC11-U114:AC114)^2)))</f>
        <v>0.16275438344838122</v>
      </c>
      <c r="AF11">
        <f t="shared" si="20"/>
        <v>0.73113089099900552</v>
      </c>
      <c r="AH11" t="str">
        <v>Glass/Epoxy</v>
      </c>
      <c r="AI11">
        <v>0.42053504088792676</v>
      </c>
      <c r="AJ11">
        <v>6</v>
      </c>
    </row>
    <row r="12" spans="1:39">
      <c r="A12" t="str">
        <f>IF(DATA!A14="","",DATA!A14)</f>
        <v>Jute/epoxy</v>
      </c>
      <c r="B12">
        <f>IF(DATA!B14="","",DATA!B14)</f>
        <v>0.56999999999999995</v>
      </c>
      <c r="C12">
        <f>IF(DATA!C14="","",DATA!C14)</f>
        <v>1.3</v>
      </c>
      <c r="D12">
        <f>IF(DATA!D14="","",DATA!D14)</f>
        <v>12</v>
      </c>
      <c r="E12">
        <f>IF(DATA!E14="","",DATA!E14)</f>
        <v>335</v>
      </c>
      <c r="F12">
        <f>IF(DATA!F14="","",DATA!F14)</f>
        <v>2.5</v>
      </c>
      <c r="G12">
        <f>IF(DATA!G14="","",DATA!G14)</f>
        <v>13</v>
      </c>
      <c r="H12">
        <f>IF(DATA!H14="","",DATA!H14)</f>
        <v>285</v>
      </c>
      <c r="I12">
        <f>IF(DATA!I14="","",DATA!I14)</f>
        <v>2.9999999999999997E-5</v>
      </c>
      <c r="J12">
        <f>IF(DATA!J14="","",DATA!J14)</f>
        <v>3</v>
      </c>
      <c r="L12">
        <f t="shared" si="18"/>
        <v>0.10522893614621456</v>
      </c>
      <c r="M12">
        <f t="shared" si="0"/>
        <v>0.1451766549624961</v>
      </c>
      <c r="N12">
        <f t="shared" si="1"/>
        <v>4.7789046857413565E-2</v>
      </c>
      <c r="O12">
        <f t="shared" si="2"/>
        <v>0.125190316323113</v>
      </c>
      <c r="P12">
        <f t="shared" si="3"/>
        <v>6.1959010324736025E-2</v>
      </c>
      <c r="Q12">
        <f t="shared" si="4"/>
        <v>5.0067072590806422E-2</v>
      </c>
      <c r="R12">
        <f t="shared" si="5"/>
        <v>0.12034532983488121</v>
      </c>
      <c r="S12">
        <f t="shared" si="6"/>
        <v>0.47571844385922341</v>
      </c>
      <c r="T12">
        <f t="shared" si="7"/>
        <v>0.12658227848101264</v>
      </c>
      <c r="U12">
        <f>IF(L12="","",L12*DATA!B4)</f>
        <v>1.16919870952059E-2</v>
      </c>
      <c r="V12">
        <f>IF(M12="","",M12*DATA!C4)</f>
        <v>1.613057813288294E-2</v>
      </c>
      <c r="W12">
        <f>IF(N12="","",N12*DATA!D4)</f>
        <v>5.3098409963272209E-3</v>
      </c>
      <c r="X12">
        <f>IF(O12="","",O12*DATA!E4)</f>
        <v>1.3909896046661086E-2</v>
      </c>
      <c r="Y12">
        <f>IF(P12="","",P12*DATA!F4)</f>
        <v>6.8842656371814201E-3</v>
      </c>
      <c r="Z12">
        <f>IF(Q12="","",Q12*DATA!G4)</f>
        <v>5.5629524355645015E-3</v>
      </c>
      <c r="AA12">
        <f>IF(R12="","",R12*DATA!H4)</f>
        <v>1.3371569597953652E-2</v>
      </c>
      <c r="AB12">
        <f>IF(S12="","",S12*DATA!I4)</f>
        <v>5.285707629719831E-2</v>
      </c>
      <c r="AC12">
        <f>IF(T12="","",T12*DATA!J4)</f>
        <v>1.4064556962025314E-2</v>
      </c>
      <c r="AD12">
        <f t="shared" si="19"/>
        <v>6.2188410789094331E-2</v>
      </c>
      <c r="AE12">
        <f>IF(U12="","",SQRT(SUMPRODUCT((U12:AC12-U114:AC114)^2)))</f>
        <v>0.16028701701947071</v>
      </c>
      <c r="AF12">
        <f>IF(OR(AD12="",AE12=""),"",AE12/(AD12+AE12))</f>
        <v>0.72047065421262602</v>
      </c>
      <c r="AH12" t="str">
        <v>Aluminium template</v>
      </c>
      <c r="AI12">
        <v>0.38732994494312595</v>
      </c>
      <c r="AJ12">
        <v>7</v>
      </c>
    </row>
    <row r="13" spans="1:39">
      <c r="A13" t="str">
        <f>IF(DATA!A15="","",DATA!A15)</f>
        <v/>
      </c>
      <c r="B13" t="str">
        <f>IF(DATA!B15="","",DATA!B15)</f>
        <v/>
      </c>
      <c r="C13" t="str">
        <f>IF(DATA!C15="","",DATA!C15)</f>
        <v/>
      </c>
      <c r="D13" t="str">
        <f>IF(DATA!D15="","",DATA!D15)</f>
        <v/>
      </c>
      <c r="E13" t="str">
        <f>IF(DATA!E15="","",DATA!E15)</f>
        <v/>
      </c>
      <c r="F13" t="str">
        <f>IF(DATA!F15="","",DATA!F15)</f>
        <v/>
      </c>
      <c r="G13" t="str">
        <f>IF(DATA!G15="","",DATA!G15)</f>
        <v/>
      </c>
      <c r="H13" t="str">
        <f>IF(DATA!H15="","",DATA!H15)</f>
        <v/>
      </c>
      <c r="I13" t="str">
        <f>IF(DATA!I15="","",DATA!I15)</f>
        <v/>
      </c>
      <c r="J13" t="str">
        <f>IF(DATA!J15="","",DATA!J15)</f>
        <v/>
      </c>
      <c r="L13" t="str">
        <f t="shared" si="18"/>
        <v/>
      </c>
      <c r="M13" t="str">
        <f t="shared" si="0"/>
        <v/>
      </c>
      <c r="N13" t="str">
        <f t="shared" si="1"/>
        <v/>
      </c>
      <c r="O13" t="str">
        <f t="shared" si="2"/>
        <v/>
      </c>
      <c r="P13" t="str">
        <f t="shared" si="3"/>
        <v/>
      </c>
      <c r="Q13" t="str">
        <f t="shared" si="4"/>
        <v/>
      </c>
      <c r="R13" t="str">
        <f t="shared" si="5"/>
        <v/>
      </c>
      <c r="S13" t="str">
        <f t="shared" si="6"/>
        <v/>
      </c>
      <c r="T13" t="str">
        <f t="shared" si="7"/>
        <v/>
      </c>
      <c r="U13" t="str">
        <f>IF(L13="","",L13*DATA!B4)</f>
        <v/>
      </c>
      <c r="V13" t="str">
        <f>IF(M13="","",M13*DATA!C4)</f>
        <v/>
      </c>
      <c r="W13" t="str">
        <f>IF(N13="","",N13*DATA!D4)</f>
        <v/>
      </c>
      <c r="X13" t="str">
        <f>IF(O13="","",O13*DATA!E4)</f>
        <v/>
      </c>
      <c r="Y13" t="str">
        <f>IF(P13="","",P13*DATA!F4)</f>
        <v/>
      </c>
      <c r="Z13" t="str">
        <f>IF(Q13="","",Q13*DATA!G4)</f>
        <v/>
      </c>
      <c r="AA13" t="str">
        <f>IF(R13="","",R13*DATA!H4)</f>
        <v/>
      </c>
      <c r="AB13" t="str">
        <f>IF(S13="","",S13*DATA!I4)</f>
        <v/>
      </c>
      <c r="AC13" t="str">
        <f>IF(T13="","",T13*DATA!J4)</f>
        <v/>
      </c>
      <c r="AD13" t="str">
        <f t="shared" si="19"/>
        <v/>
      </c>
      <c r="AE13" t="str">
        <f>IF(U13="","",SQRT(SUMPRODUCT((U13:AC13-U114:AC114)^2)))</f>
        <v/>
      </c>
      <c r="AF13" t="str">
        <f t="shared" si="20"/>
        <v/>
      </c>
    </row>
    <row r="14" spans="1:39">
      <c r="A14" t="str">
        <f>IF(DATA!A16="","",DATA!A16)</f>
        <v/>
      </c>
      <c r="B14" t="str">
        <f>IF(DATA!B16="","",DATA!B16)</f>
        <v/>
      </c>
      <c r="C14" t="str">
        <f>IF(DATA!C16="","",DATA!C16)</f>
        <v/>
      </c>
      <c r="D14" t="str">
        <f>IF(DATA!D16="","",DATA!D16)</f>
        <v/>
      </c>
      <c r="E14" t="str">
        <f>IF(DATA!E16="","",DATA!E16)</f>
        <v/>
      </c>
      <c r="F14" t="str">
        <f>IF(DATA!F16="","",DATA!F16)</f>
        <v/>
      </c>
      <c r="G14" t="str">
        <f>IF(DATA!G16="","",DATA!G16)</f>
        <v/>
      </c>
      <c r="H14" t="str">
        <f>IF(DATA!H16="","",DATA!H16)</f>
        <v/>
      </c>
      <c r="I14" t="str">
        <f>IF(DATA!I16="","",DATA!I16)</f>
        <v/>
      </c>
      <c r="J14" t="str">
        <f>IF(DATA!J16="","",DATA!J16)</f>
        <v/>
      </c>
      <c r="L14" t="str">
        <f t="shared" si="18"/>
        <v/>
      </c>
      <c r="M14" t="str">
        <f t="shared" si="0"/>
        <v/>
      </c>
      <c r="N14" t="str">
        <f t="shared" si="1"/>
        <v/>
      </c>
      <c r="O14" t="str">
        <f t="shared" si="2"/>
        <v/>
      </c>
      <c r="P14" t="str">
        <f t="shared" si="3"/>
        <v/>
      </c>
      <c r="Q14" t="str">
        <f t="shared" si="4"/>
        <v/>
      </c>
      <c r="R14" t="str">
        <f t="shared" si="5"/>
        <v/>
      </c>
      <c r="S14" t="str">
        <f t="shared" si="6"/>
        <v/>
      </c>
      <c r="T14" t="str">
        <f t="shared" si="7"/>
        <v/>
      </c>
      <c r="U14" t="str">
        <f>IF(L14="","",L14*DATA!B4)</f>
        <v/>
      </c>
      <c r="V14" t="str">
        <f>IF(M14="","",M14*DATA!C4)</f>
        <v/>
      </c>
      <c r="W14" t="str">
        <f>IF(N14="","",N14*DATA!D4)</f>
        <v/>
      </c>
      <c r="X14" t="str">
        <f>IF(O14="","",O14*DATA!E4)</f>
        <v/>
      </c>
      <c r="Y14" t="str">
        <f>IF(P14="","",P14*DATA!F4)</f>
        <v/>
      </c>
      <c r="Z14" t="str">
        <f>IF(Q14="","",Q14*DATA!G4)</f>
        <v/>
      </c>
      <c r="AA14" t="str">
        <f>IF(R14="","",R14*DATA!H4)</f>
        <v/>
      </c>
      <c r="AB14" t="str">
        <f>IF(S14="","",S14*DATA!I4)</f>
        <v/>
      </c>
      <c r="AC14" t="str">
        <f>IF(T14="","",T14*DATA!J4)</f>
        <v/>
      </c>
      <c r="AD14" t="str">
        <f t="shared" si="19"/>
        <v/>
      </c>
      <c r="AE14" t="str">
        <f>IF(U14="","",SQRT(SUMPRODUCT((U14:AC14-U114:AC114)^2)))</f>
        <v/>
      </c>
      <c r="AF14" t="str">
        <f t="shared" si="20"/>
        <v/>
      </c>
    </row>
    <row r="15" spans="1:39">
      <c r="A15" t="str">
        <f>IF(DATA!A17="","",DATA!A17)</f>
        <v/>
      </c>
      <c r="B15" t="str">
        <f>IF(DATA!B17="","",DATA!B17)</f>
        <v/>
      </c>
      <c r="C15" t="str">
        <f>IF(DATA!C17="","",DATA!C17)</f>
        <v/>
      </c>
      <c r="D15" t="str">
        <f>IF(DATA!D17="","",DATA!D17)</f>
        <v/>
      </c>
      <c r="E15" t="str">
        <f>IF(DATA!E17="","",DATA!E17)</f>
        <v/>
      </c>
      <c r="F15" t="str">
        <f>IF(DATA!F17="","",DATA!F17)</f>
        <v/>
      </c>
      <c r="G15" t="str">
        <f>IF(DATA!G17="","",DATA!G17)</f>
        <v/>
      </c>
      <c r="H15" t="str">
        <f>IF(DATA!H17="","",DATA!H17)</f>
        <v/>
      </c>
      <c r="I15" t="str">
        <f>IF(DATA!I17="","",DATA!I17)</f>
        <v/>
      </c>
      <c r="J15" t="str">
        <f>IF(DATA!J17="","",DATA!J17)</f>
        <v/>
      </c>
      <c r="L15" t="str">
        <f t="shared" si="18"/>
        <v/>
      </c>
      <c r="M15" t="str">
        <f t="shared" si="0"/>
        <v/>
      </c>
      <c r="N15" t="str">
        <f t="shared" si="1"/>
        <v/>
      </c>
      <c r="O15" t="str">
        <f t="shared" si="2"/>
        <v/>
      </c>
      <c r="P15" t="str">
        <f t="shared" si="3"/>
        <v/>
      </c>
      <c r="Q15" t="str">
        <f t="shared" si="4"/>
        <v/>
      </c>
      <c r="R15" t="str">
        <f t="shared" si="5"/>
        <v/>
      </c>
      <c r="S15" t="str">
        <f t="shared" si="6"/>
        <v/>
      </c>
      <c r="T15" t="str">
        <f t="shared" si="7"/>
        <v/>
      </c>
      <c r="U15" t="str">
        <f>IF(L15="","",L15*DATA!B6)</f>
        <v/>
      </c>
      <c r="V15" t="str">
        <f>IF(M15="","",M15*DATA!C4)</f>
        <v/>
      </c>
      <c r="W15" t="str">
        <f>IF(N15="","",N15*DATA!D4)</f>
        <v/>
      </c>
      <c r="X15" t="str">
        <f>IF(O15="","",O15*DATA!E4)</f>
        <v/>
      </c>
      <c r="Y15" t="str">
        <f>IF(P15="","",P15*DATA!F4)</f>
        <v/>
      </c>
      <c r="Z15" t="str">
        <f>IF(Q15="","",Q15*DATA!G4)</f>
        <v/>
      </c>
      <c r="AA15" t="str">
        <f>IF(R15="","",R15*DATA!H4)</f>
        <v/>
      </c>
      <c r="AB15" t="str">
        <f>IF(S15="","",S15*DATA!I4)</f>
        <v/>
      </c>
      <c r="AC15" t="str">
        <f>IF(T15="","",T15*DATA!J4)</f>
        <v/>
      </c>
      <c r="AD15" t="str">
        <f t="shared" si="19"/>
        <v/>
      </c>
      <c r="AE15" t="str">
        <f>IF(U15="","",SQRT(SUMPRODUCT((U15:AC15-U114:AC114)^2)))</f>
        <v/>
      </c>
      <c r="AF15" t="str">
        <f t="shared" si="20"/>
        <v/>
      </c>
    </row>
    <row r="16" spans="1:39">
      <c r="A16" t="str">
        <f>IF(DATA!A18="","",DATA!A18)</f>
        <v/>
      </c>
      <c r="B16" t="str">
        <f>IF(DATA!B18="","",DATA!B18)</f>
        <v/>
      </c>
      <c r="H16" t="str">
        <f>IF(DATA!H18="","",DATA!H18)</f>
        <v/>
      </c>
      <c r="I16" t="str">
        <f>IF(DATA!I18="","",DATA!I18)</f>
        <v/>
      </c>
      <c r="J16" t="str">
        <f>IF(DATA!J18="","",DATA!J18)</f>
        <v/>
      </c>
      <c r="L16" t="str">
        <f t="shared" si="18"/>
        <v/>
      </c>
      <c r="M16" t="str">
        <f t="shared" si="0"/>
        <v/>
      </c>
      <c r="N16" t="str">
        <f t="shared" si="1"/>
        <v/>
      </c>
      <c r="O16" t="str">
        <f t="shared" si="2"/>
        <v/>
      </c>
      <c r="P16" t="str">
        <f t="shared" si="3"/>
        <v/>
      </c>
      <c r="Q16" t="str">
        <f t="shared" si="4"/>
        <v/>
      </c>
      <c r="R16" t="str">
        <f t="shared" si="5"/>
        <v/>
      </c>
      <c r="S16" t="str">
        <f t="shared" si="6"/>
        <v/>
      </c>
      <c r="T16" t="str">
        <f t="shared" si="7"/>
        <v/>
      </c>
      <c r="U16" t="str">
        <f>IF(L16="","",L16*DATA!B8)</f>
        <v/>
      </c>
      <c r="V16" t="str">
        <f>IF(M16="","",M16*DATA!C4)</f>
        <v/>
      </c>
      <c r="W16" t="str">
        <f>IF(N16="","",N16*DATA!D4)</f>
        <v/>
      </c>
      <c r="X16" t="str">
        <f>IF(O16="","",O16*DATA!E4)</f>
        <v/>
      </c>
      <c r="Y16" t="str">
        <f>IF(P16="","",P16*DATA!F4)</f>
        <v/>
      </c>
      <c r="Z16" t="str">
        <f>IF(Q16="","",Q16*DATA!G4)</f>
        <v/>
      </c>
      <c r="AA16" t="str">
        <f>IF(R16="","",R16*DATA!H4)</f>
        <v/>
      </c>
      <c r="AB16" t="str">
        <f>IF(S16="","",S16*DATA!I4)</f>
        <v/>
      </c>
      <c r="AC16" t="str">
        <f>IF(T16="","",T16*DATA!J4)</f>
        <v/>
      </c>
      <c r="AD16" t="str">
        <f t="shared" si="19"/>
        <v/>
      </c>
      <c r="AE16" t="str">
        <f>IF(U16="","",SQRT(SUMPRODUCT((U16:AC16-U114:AC114)^2)))</f>
        <v/>
      </c>
      <c r="AF16" t="str">
        <f t="shared" si="20"/>
        <v/>
      </c>
    </row>
    <row r="17" spans="1:32">
      <c r="A17" t="str">
        <f>IF(DATA!A19="","",DATA!A19)</f>
        <v/>
      </c>
      <c r="B17" t="str">
        <f>IF(DATA!B19="","",DATA!B19)</f>
        <v/>
      </c>
      <c r="H17" t="str">
        <f>IF(DATA!H19="","",DATA!H19)</f>
        <v/>
      </c>
      <c r="I17" t="str">
        <f>IF(DATA!I19="","",DATA!I19)</f>
        <v/>
      </c>
      <c r="J17" t="str">
        <f>IF(DATA!J19="","",DATA!J19)</f>
        <v/>
      </c>
      <c r="L17" t="str">
        <f t="shared" si="18"/>
        <v/>
      </c>
      <c r="M17" t="str">
        <f t="shared" si="0"/>
        <v/>
      </c>
      <c r="N17" t="str">
        <f t="shared" si="1"/>
        <v/>
      </c>
      <c r="O17" t="str">
        <f t="shared" si="2"/>
        <v/>
      </c>
      <c r="P17" t="str">
        <f t="shared" si="3"/>
        <v/>
      </c>
      <c r="Q17" t="str">
        <f t="shared" si="4"/>
        <v/>
      </c>
      <c r="R17" t="str">
        <f t="shared" si="5"/>
        <v/>
      </c>
      <c r="S17" t="str">
        <f t="shared" si="6"/>
        <v/>
      </c>
      <c r="T17" t="str">
        <f t="shared" si="7"/>
        <v/>
      </c>
      <c r="U17" t="str">
        <f>IF(L17="","",L17*DATA!B9)</f>
        <v/>
      </c>
      <c r="V17" t="str">
        <f>IF(M17="","",M17*DATA!C4)</f>
        <v/>
      </c>
      <c r="W17" t="str">
        <f>IF(N17="","",N17*DATA!D4)</f>
        <v/>
      </c>
      <c r="X17" t="str">
        <f>IF(O17="","",O17*DATA!E4)</f>
        <v/>
      </c>
      <c r="Y17" t="str">
        <f>IF(P17="","",P17*DATA!F4)</f>
        <v/>
      </c>
      <c r="Z17" t="str">
        <f>IF(Q17="","",Q17*DATA!G4)</f>
        <v/>
      </c>
      <c r="AA17" t="str">
        <f>IF(R17="","",R17*DATA!H4)</f>
        <v/>
      </c>
      <c r="AB17" t="str">
        <f>IF(S17="","",S17*DATA!I4)</f>
        <v/>
      </c>
      <c r="AC17" t="str">
        <f>IF(T17="","",T17*DATA!J4)</f>
        <v/>
      </c>
      <c r="AD17" t="str">
        <f t="shared" si="19"/>
        <v/>
      </c>
      <c r="AE17" t="str">
        <f>IF(U17="","",SQRT(SUMPRODUCT((U17:AC17-U114:AC114)^2)))</f>
        <v/>
      </c>
      <c r="AF17" t="str">
        <f t="shared" si="20"/>
        <v/>
      </c>
    </row>
    <row r="18" spans="1:32">
      <c r="A18" t="str">
        <f>IF(DATA!A20="","",DATA!A20)</f>
        <v/>
      </c>
      <c r="B18" t="str">
        <f>IF(DATA!B20="","",DATA!B20)</f>
        <v/>
      </c>
      <c r="H18" t="str">
        <f>IF(DATA!H20="","",DATA!H20)</f>
        <v/>
      </c>
      <c r="I18" t="str">
        <f>IF(DATA!I20="","",DATA!I20)</f>
        <v/>
      </c>
      <c r="J18" t="str">
        <f>IF(DATA!J20="","",DATA!J20)</f>
        <v/>
      </c>
      <c r="L18" t="str">
        <f t="shared" si="18"/>
        <v/>
      </c>
      <c r="M18" t="str">
        <f t="shared" si="0"/>
        <v/>
      </c>
      <c r="N18" t="str">
        <f t="shared" si="1"/>
        <v/>
      </c>
      <c r="O18" t="str">
        <f t="shared" si="2"/>
        <v/>
      </c>
      <c r="P18" t="str">
        <f t="shared" si="3"/>
        <v/>
      </c>
      <c r="Q18" t="str">
        <f t="shared" si="4"/>
        <v/>
      </c>
      <c r="R18" t="str">
        <f t="shared" si="5"/>
        <v/>
      </c>
      <c r="S18" t="str">
        <f t="shared" si="6"/>
        <v/>
      </c>
      <c r="T18" t="str">
        <f t="shared" si="7"/>
        <v/>
      </c>
      <c r="U18" t="str">
        <f>IF(L18="","",L18*DATA!B10)</f>
        <v/>
      </c>
      <c r="V18" t="str">
        <f>IF(M18="","",M18*DATA!C4)</f>
        <v/>
      </c>
      <c r="W18" t="str">
        <f>IF(N18="","",N18*DATA!D4)</f>
        <v/>
      </c>
      <c r="X18" t="str">
        <f>IF(O18="","",O18*DATA!E4)</f>
        <v/>
      </c>
      <c r="Y18" t="str">
        <f>IF(P18="","",P18*DATA!F4)</f>
        <v/>
      </c>
      <c r="Z18" t="str">
        <f>IF(Q18="","",Q18*DATA!G4)</f>
        <v/>
      </c>
      <c r="AA18" t="str">
        <f>IF(R18="","",R18*DATA!H4)</f>
        <v/>
      </c>
      <c r="AB18" t="str">
        <f>IF(S18="","",S18*DATA!I4)</f>
        <v/>
      </c>
      <c r="AC18" t="str">
        <f>IF(T18="","",T18*DATA!J4)</f>
        <v/>
      </c>
      <c r="AD18" t="str">
        <f t="shared" si="19"/>
        <v/>
      </c>
      <c r="AE18" t="str">
        <f>IF(U18="","",SQRT(SUMPRODUCT((U18:AC18-U114:AC114)^2)))</f>
        <v/>
      </c>
      <c r="AF18" t="str">
        <f t="shared" si="20"/>
        <v/>
      </c>
    </row>
    <row r="19" spans="1:32">
      <c r="A19" t="str">
        <f>IF(DATA!A21="","",DATA!A21)</f>
        <v/>
      </c>
      <c r="B19" t="str">
        <f>IF(DATA!B21="","",DATA!B21)</f>
        <v/>
      </c>
      <c r="H19" t="str">
        <f>IF(DATA!H21="","",DATA!H21)</f>
        <v/>
      </c>
      <c r="I19" t="str">
        <f>IF(DATA!I21="","",DATA!I21)</f>
        <v/>
      </c>
      <c r="J19" t="str">
        <f>IF(DATA!J21="","",DATA!J21)</f>
        <v/>
      </c>
      <c r="L19" t="str">
        <f t="shared" si="18"/>
        <v/>
      </c>
      <c r="M19" t="str">
        <f t="shared" si="0"/>
        <v/>
      </c>
      <c r="N19" t="str">
        <f t="shared" si="1"/>
        <v/>
      </c>
      <c r="O19" t="str">
        <f t="shared" si="2"/>
        <v/>
      </c>
      <c r="P19" t="str">
        <f t="shared" si="3"/>
        <v/>
      </c>
      <c r="Q19" t="str">
        <f t="shared" si="4"/>
        <v/>
      </c>
      <c r="R19" t="str">
        <f t="shared" si="5"/>
        <v/>
      </c>
      <c r="S19" t="str">
        <f t="shared" si="6"/>
        <v/>
      </c>
      <c r="T19" t="str">
        <f t="shared" si="7"/>
        <v/>
      </c>
      <c r="U19" t="str">
        <f>IF(L19="","",L19*DATA!B11)</f>
        <v/>
      </c>
      <c r="V19" t="str">
        <f>IF(M19="","",M19*DATA!C4)</f>
        <v/>
      </c>
      <c r="W19" t="str">
        <f>IF(N19="","",N19*DATA!D4)</f>
        <v/>
      </c>
      <c r="X19" t="str">
        <f>IF(O19="","",O19*DATA!E4)</f>
        <v/>
      </c>
      <c r="Y19" t="str">
        <f>IF(P19="","",P19*DATA!F4)</f>
        <v/>
      </c>
      <c r="Z19" t="str">
        <f>IF(Q19="","",Q19*DATA!G4)</f>
        <v/>
      </c>
      <c r="AA19" t="str">
        <f>IF(R19="","",R19*DATA!H4)</f>
        <v/>
      </c>
      <c r="AB19" t="str">
        <f>IF(S19="","",S19*DATA!I4)</f>
        <v/>
      </c>
      <c r="AC19" t="str">
        <f>IF(T19="","",T19*DATA!J4)</f>
        <v/>
      </c>
      <c r="AD19" t="str">
        <f t="shared" si="19"/>
        <v/>
      </c>
      <c r="AE19" t="str">
        <f>IF(U19="","",SQRT(SUMPRODUCT((U19:AC19-U114:AC114)^2)))</f>
        <v/>
      </c>
      <c r="AF19" t="str">
        <f t="shared" si="20"/>
        <v/>
      </c>
    </row>
    <row r="20" spans="1:32">
      <c r="A20" t="str">
        <f>IF(DATA!A22="","",DATA!A22)</f>
        <v/>
      </c>
      <c r="B20" t="str">
        <f>IF(DATA!B22="","",DATA!B22)</f>
        <v/>
      </c>
      <c r="H20" t="str">
        <f>IF(DATA!H22="","",DATA!H22)</f>
        <v/>
      </c>
      <c r="I20" t="str">
        <f>IF(DATA!I22="","",DATA!I22)</f>
        <v/>
      </c>
      <c r="J20" t="str">
        <f>IF(DATA!J22="","",DATA!J22)</f>
        <v/>
      </c>
      <c r="L20" t="str">
        <f t="shared" si="18"/>
        <v/>
      </c>
      <c r="M20" t="str">
        <f t="shared" si="0"/>
        <v/>
      </c>
      <c r="N20" t="str">
        <f t="shared" si="1"/>
        <v/>
      </c>
      <c r="O20" t="str">
        <f t="shared" si="2"/>
        <v/>
      </c>
      <c r="P20" t="str">
        <f t="shared" si="3"/>
        <v/>
      </c>
      <c r="Q20" t="str">
        <f t="shared" si="4"/>
        <v/>
      </c>
      <c r="R20" t="str">
        <f t="shared" si="5"/>
        <v/>
      </c>
      <c r="S20" t="str">
        <f t="shared" si="6"/>
        <v/>
      </c>
      <c r="T20" t="str">
        <f t="shared" si="7"/>
        <v/>
      </c>
      <c r="U20" t="str">
        <f>IF(L20="","",L20*DATA!B12)</f>
        <v/>
      </c>
      <c r="V20" t="str">
        <f>IF(M20="","",M20*DATA!C4)</f>
        <v/>
      </c>
      <c r="W20" t="str">
        <f>IF(N20="","",N20*DATA!D4)</f>
        <v/>
      </c>
      <c r="X20" t="str">
        <f>IF(O20="","",O20*DATA!E4)</f>
        <v/>
      </c>
      <c r="Y20" t="str">
        <f>IF(P20="","",P20*DATA!F4)</f>
        <v/>
      </c>
      <c r="Z20" t="str">
        <f>IF(Q20="","",Q20*DATA!G4)</f>
        <v/>
      </c>
      <c r="AA20" t="str">
        <f>IF(R20="","",R20*DATA!H4)</f>
        <v/>
      </c>
      <c r="AB20" t="str">
        <f>IF(S20="","",S20*DATA!I4)</f>
        <v/>
      </c>
      <c r="AC20" t="str">
        <f>IF(T20="","",T20*DATA!J4)</f>
        <v/>
      </c>
      <c r="AD20" t="str">
        <f t="shared" si="19"/>
        <v/>
      </c>
      <c r="AE20" t="str">
        <f>IF(U20="","",SQRT(SUMPRODUCT((U20:AC20-U114:AC114)^2)))</f>
        <v/>
      </c>
      <c r="AF20" t="str">
        <f t="shared" si="20"/>
        <v/>
      </c>
    </row>
    <row r="21" spans="1:32">
      <c r="A21" t="str">
        <f>IF(DATA!A23="","",DATA!A23)</f>
        <v/>
      </c>
      <c r="B21" t="str">
        <f>IF(DATA!B23="","",DATA!B23)</f>
        <v/>
      </c>
      <c r="H21" t="str">
        <f>IF(DATA!H23="","",DATA!H23)</f>
        <v/>
      </c>
      <c r="I21" t="str">
        <f>IF(DATA!I23="","",DATA!I23)</f>
        <v/>
      </c>
      <c r="J21" t="str">
        <f>IF(DATA!J23="","",DATA!J23)</f>
        <v/>
      </c>
      <c r="L21" t="str">
        <f t="shared" si="18"/>
        <v/>
      </c>
      <c r="M21" t="str">
        <f t="shared" si="0"/>
        <v/>
      </c>
      <c r="N21" t="str">
        <f t="shared" si="1"/>
        <v/>
      </c>
      <c r="O21" t="str">
        <f t="shared" si="2"/>
        <v/>
      </c>
      <c r="P21" t="str">
        <f t="shared" si="3"/>
        <v/>
      </c>
      <c r="Q21" t="str">
        <f t="shared" si="4"/>
        <v/>
      </c>
      <c r="R21" t="str">
        <f t="shared" si="5"/>
        <v/>
      </c>
      <c r="S21" t="str">
        <f t="shared" si="6"/>
        <v/>
      </c>
      <c r="T21" t="str">
        <f t="shared" si="7"/>
        <v/>
      </c>
      <c r="U21" t="str">
        <f>IF(L21="","",L21*DATA!B4)</f>
        <v/>
      </c>
      <c r="V21" t="str">
        <f>IF(M21="","",M21*DATA!C4)</f>
        <v/>
      </c>
      <c r="W21" t="str">
        <f>IF(N21="","",N21*DATA!D4)</f>
        <v/>
      </c>
      <c r="X21" t="str">
        <f>IF(O21="","",O21*DATA!E4)</f>
        <v/>
      </c>
      <c r="Y21" t="str">
        <f>IF(P21="","",P21*DATA!F4)</f>
        <v/>
      </c>
      <c r="Z21" t="str">
        <f>IF(Q21="","",Q21*DATA!G4)</f>
        <v/>
      </c>
      <c r="AA21" t="str">
        <f>IF(R21="","",R21*DATA!H4)</f>
        <v/>
      </c>
      <c r="AB21" t="str">
        <f>IF(S21="","",S21*DATA!I4)</f>
        <v/>
      </c>
      <c r="AC21" t="str">
        <f>IF(T21="","",T21*DATA!J4)</f>
        <v/>
      </c>
      <c r="AD21" t="str">
        <f t="shared" si="19"/>
        <v/>
      </c>
      <c r="AE21" t="str">
        <f>IF(U21="","",SQRT(SUMPRODUCT((U21:AC21-U114:AC114)^2)))</f>
        <v/>
      </c>
      <c r="AF21" t="str">
        <f t="shared" si="20"/>
        <v/>
      </c>
    </row>
    <row r="22" spans="1:32">
      <c r="A22" t="str">
        <f>IF(DATA!A24="","",DATA!A24)</f>
        <v/>
      </c>
      <c r="B22" t="str">
        <f>IF(DATA!B24="","",DATA!B24)</f>
        <v/>
      </c>
      <c r="H22" t="str">
        <f>IF(DATA!H24="","",DATA!H24)</f>
        <v/>
      </c>
      <c r="I22" t="str">
        <f>IF(DATA!I24="","",DATA!I24)</f>
        <v/>
      </c>
      <c r="J22" t="str">
        <f>IF(DATA!J24="","",DATA!J24)</f>
        <v/>
      </c>
      <c r="L22" t="str">
        <f t="shared" si="18"/>
        <v/>
      </c>
      <c r="M22" t="str">
        <f t="shared" si="0"/>
        <v/>
      </c>
      <c r="N22" t="str">
        <f t="shared" si="1"/>
        <v/>
      </c>
      <c r="O22" t="str">
        <f t="shared" si="2"/>
        <v/>
      </c>
      <c r="P22" t="str">
        <f t="shared" si="3"/>
        <v/>
      </c>
      <c r="Q22" t="str">
        <f t="shared" si="4"/>
        <v/>
      </c>
      <c r="R22" t="str">
        <f t="shared" si="5"/>
        <v/>
      </c>
      <c r="S22" t="str">
        <f t="shared" si="6"/>
        <v/>
      </c>
      <c r="T22" t="str">
        <f t="shared" si="7"/>
        <v/>
      </c>
      <c r="U22" t="str">
        <f>IF(L22="","",L22*DATA!B4)</f>
        <v/>
      </c>
      <c r="V22" t="str">
        <f>IF(M22="","",M22*DATA!C4)</f>
        <v/>
      </c>
      <c r="W22" t="str">
        <f>IF(N22="","",N22*DATA!D4)</f>
        <v/>
      </c>
      <c r="X22" t="str">
        <f>IF(O22="","",O22*DATA!E4)</f>
        <v/>
      </c>
      <c r="Y22" t="str">
        <f>IF(P22="","",P22*DATA!F4)</f>
        <v/>
      </c>
      <c r="Z22" t="str">
        <f>IF(Q22="","",Q22*DATA!G4)</f>
        <v/>
      </c>
      <c r="AA22" t="str">
        <f>IF(R22="","",R22*DATA!H4)</f>
        <v/>
      </c>
      <c r="AB22" t="str">
        <f>IF(S22="","",S22*DATA!I4)</f>
        <v/>
      </c>
      <c r="AC22" t="str">
        <f>IF(T22="","",T22*DATA!J4)</f>
        <v/>
      </c>
      <c r="AD22" t="str">
        <f t="shared" si="19"/>
        <v/>
      </c>
      <c r="AE22" t="str">
        <f>IF(U22="","",SQRT(SUMPRODUCT((U22:AC22-U114:AC114)^2)))</f>
        <v/>
      </c>
      <c r="AF22" t="str">
        <f t="shared" si="20"/>
        <v/>
      </c>
    </row>
    <row r="23" spans="1:32">
      <c r="A23" t="str">
        <f>IF(DATA!A25="","",DATA!A25)</f>
        <v/>
      </c>
      <c r="B23" t="str">
        <f>IF(DATA!B25="","",DATA!B25)</f>
        <v/>
      </c>
      <c r="H23" t="str">
        <f>IF(DATA!H25="","",DATA!H25)</f>
        <v/>
      </c>
      <c r="I23" t="str">
        <f>IF(DATA!I25="","",DATA!I25)</f>
        <v/>
      </c>
      <c r="J23" t="str">
        <f>IF(DATA!J25="","",DATA!J25)</f>
        <v/>
      </c>
      <c r="L23" t="str">
        <f t="shared" si="18"/>
        <v/>
      </c>
      <c r="M23" t="str">
        <f t="shared" si="0"/>
        <v/>
      </c>
      <c r="N23" t="str">
        <f t="shared" si="1"/>
        <v/>
      </c>
      <c r="O23" t="str">
        <f t="shared" si="2"/>
        <v/>
      </c>
      <c r="P23" t="str">
        <f t="shared" si="3"/>
        <v/>
      </c>
      <c r="Q23" t="str">
        <f t="shared" si="4"/>
        <v/>
      </c>
      <c r="R23" t="str">
        <f t="shared" si="5"/>
        <v/>
      </c>
      <c r="S23" t="str">
        <f t="shared" si="6"/>
        <v/>
      </c>
      <c r="T23" t="str">
        <f t="shared" si="7"/>
        <v/>
      </c>
      <c r="U23" t="str">
        <f>IF(L23="","",L23*DATA!B4)</f>
        <v/>
      </c>
      <c r="V23" t="str">
        <f>IF(M23="","",M23*DATA!C4)</f>
        <v/>
      </c>
      <c r="W23" t="str">
        <f>IF(N23="","",N23*DATA!D4)</f>
        <v/>
      </c>
      <c r="X23" t="str">
        <f>IF(O23="","",O23*DATA!E4)</f>
        <v/>
      </c>
      <c r="Y23" t="str">
        <f>IF(P23="","",P23*DATA!F4)</f>
        <v/>
      </c>
      <c r="Z23" t="str">
        <f>IF(Q23="","",Q23*DATA!G4)</f>
        <v/>
      </c>
      <c r="AA23" t="str">
        <f>IF(R23="","",R23*DATA!H4)</f>
        <v/>
      </c>
      <c r="AB23" t="str">
        <f>IF(S23="","",S23*DATA!I4)</f>
        <v/>
      </c>
      <c r="AC23" t="str">
        <f>IF(T23="","",T23*DATA!J4)</f>
        <v/>
      </c>
      <c r="AD23" t="str">
        <f t="shared" si="19"/>
        <v/>
      </c>
      <c r="AE23" t="str">
        <f>IF(U23="","",SQRT(SUMPRODUCT((U23:AC23-U114:AC114)^2)))</f>
        <v/>
      </c>
      <c r="AF23" t="str">
        <f t="shared" si="20"/>
        <v/>
      </c>
    </row>
    <row r="24" spans="1:32">
      <c r="A24" t="str">
        <f>IF(DATA!A26="","",DATA!A26)</f>
        <v/>
      </c>
      <c r="B24" t="str">
        <f>IF(DATA!B26="","",DATA!B26)</f>
        <v/>
      </c>
      <c r="H24" t="str">
        <f>IF(DATA!H26="","",DATA!H26)</f>
        <v/>
      </c>
      <c r="I24" t="str">
        <f>IF(DATA!I26="","",DATA!I26)</f>
        <v/>
      </c>
      <c r="J24" t="str">
        <f>IF(DATA!J26="","",DATA!J26)</f>
        <v/>
      </c>
      <c r="L24" t="str">
        <f t="shared" si="18"/>
        <v/>
      </c>
      <c r="M24" t="str">
        <f t="shared" si="0"/>
        <v/>
      </c>
      <c r="N24" t="str">
        <f t="shared" si="1"/>
        <v/>
      </c>
      <c r="O24" t="str">
        <f t="shared" si="2"/>
        <v/>
      </c>
      <c r="P24" t="str">
        <f t="shared" si="3"/>
        <v/>
      </c>
      <c r="Q24" t="str">
        <f t="shared" si="4"/>
        <v/>
      </c>
      <c r="R24" t="str">
        <f t="shared" si="5"/>
        <v/>
      </c>
      <c r="S24" t="str">
        <f t="shared" si="6"/>
        <v/>
      </c>
      <c r="T24" t="str">
        <f t="shared" si="7"/>
        <v/>
      </c>
      <c r="U24" t="str">
        <f>IF(L24="","",L24*DATA!B4)</f>
        <v/>
      </c>
      <c r="V24" t="str">
        <f>IF(M24="","",M24*DATA!C4)</f>
        <v/>
      </c>
      <c r="W24" t="str">
        <f>IF(N24="","",N24*DATA!D4)</f>
        <v/>
      </c>
      <c r="X24" t="str">
        <f>IF(O24="","",O24*DATA!E4)</f>
        <v/>
      </c>
      <c r="Y24" t="str">
        <f>IF(P24="","",P24*DATA!F4)</f>
        <v/>
      </c>
      <c r="Z24" t="str">
        <f>IF(Q24="","",Q24*DATA!G4)</f>
        <v/>
      </c>
      <c r="AA24" t="str">
        <f>IF(R24="","",R24*DATA!H4)</f>
        <v/>
      </c>
      <c r="AB24" t="str">
        <f>IF(S24="","",S24*DATA!I4)</f>
        <v/>
      </c>
      <c r="AC24" t="str">
        <f>IF(T24="","",T24*DATA!J4)</f>
        <v/>
      </c>
      <c r="AD24" t="str">
        <f t="shared" si="19"/>
        <v/>
      </c>
      <c r="AE24" t="str">
        <f>IF(U24="","",SQRT(SUMPRODUCT((U24:AC24-U114:AC114)^2)))</f>
        <v/>
      </c>
      <c r="AF24" t="str">
        <f t="shared" si="20"/>
        <v/>
      </c>
    </row>
    <row r="25" spans="1:32">
      <c r="A25" t="str">
        <f>IF(DATA!A27="","",DATA!A27)</f>
        <v/>
      </c>
      <c r="B25" t="str">
        <f>IF(DATA!B27="","",DATA!B27)</f>
        <v/>
      </c>
      <c r="C25" t="str">
        <f>IF(DATA!C27="","",DATA!C27)</f>
        <v/>
      </c>
      <c r="D25" t="str">
        <f>IF(DATA!D27="","",DATA!D27)</f>
        <v/>
      </c>
      <c r="E25" t="str">
        <f>IF(DATA!E27="","",DATA!E27)</f>
        <v/>
      </c>
      <c r="F25" t="str">
        <f>IF(DATA!F27="","",DATA!F27)</f>
        <v/>
      </c>
      <c r="G25" t="str">
        <f>IF(DATA!G27="","",DATA!G27)</f>
        <v/>
      </c>
      <c r="H25" t="str">
        <f>IF(DATA!H27="","",DATA!H27)</f>
        <v/>
      </c>
      <c r="I25" t="str">
        <f>IF(DATA!I27="","",DATA!I27)</f>
        <v/>
      </c>
      <c r="J25" t="str">
        <f>IF(DATA!J27="","",DATA!J27)</f>
        <v/>
      </c>
      <c r="L25" t="str">
        <f t="shared" si="18"/>
        <v/>
      </c>
      <c r="M25" t="str">
        <f t="shared" si="0"/>
        <v/>
      </c>
      <c r="N25" t="str">
        <f t="shared" si="1"/>
        <v/>
      </c>
      <c r="O25" t="str">
        <f t="shared" si="2"/>
        <v/>
      </c>
      <c r="P25" t="str">
        <f t="shared" si="3"/>
        <v/>
      </c>
      <c r="Q25" t="str">
        <f t="shared" si="4"/>
        <v/>
      </c>
      <c r="R25" t="str">
        <f t="shared" si="5"/>
        <v/>
      </c>
      <c r="S25" t="str">
        <f t="shared" si="6"/>
        <v/>
      </c>
      <c r="T25" t="str">
        <f t="shared" si="7"/>
        <v/>
      </c>
      <c r="U25" t="str">
        <f>IF(L25="","",L25*DATA!B4)</f>
        <v/>
      </c>
      <c r="V25" t="str">
        <f>IF(M25="","",M25*DATA!C4)</f>
        <v/>
      </c>
      <c r="W25" t="str">
        <f>IF(N25="","",N25*DATA!D4)</f>
        <v/>
      </c>
      <c r="X25" t="str">
        <f>IF(O25="","",O25*DATA!E4)</f>
        <v/>
      </c>
      <c r="Y25" t="str">
        <f>IF(P25="","",P25*DATA!F4)</f>
        <v/>
      </c>
      <c r="Z25" t="str">
        <f>IF(Q25="","",Q25*DATA!G4)</f>
        <v/>
      </c>
      <c r="AA25" t="str">
        <f>IF(R25="","",R25*DATA!H4)</f>
        <v/>
      </c>
      <c r="AB25" t="str">
        <f>IF(S25="","",S25*DATA!I4)</f>
        <v/>
      </c>
      <c r="AC25" t="str">
        <f>IF(T25="","",T25*DATA!J4)</f>
        <v/>
      </c>
      <c r="AD25" t="str">
        <f t="shared" si="19"/>
        <v/>
      </c>
      <c r="AE25" t="str">
        <f>IF(U25="","",SQRT(SUMPRODUCT((U25:AC25-U114:AC114)^2)))</f>
        <v/>
      </c>
      <c r="AF25" t="str">
        <f t="shared" si="20"/>
        <v/>
      </c>
    </row>
    <row r="26" spans="1:32">
      <c r="A26" t="str">
        <f>IF(DATA!A28="","",DATA!A28)</f>
        <v/>
      </c>
      <c r="B26" t="str">
        <f>IF(DATA!B28="","",DATA!B28)</f>
        <v/>
      </c>
      <c r="C26" t="str">
        <f>IF(DATA!C28="","",DATA!C28)</f>
        <v/>
      </c>
      <c r="D26" t="str">
        <f>IF(DATA!D28="","",DATA!D28)</f>
        <v/>
      </c>
      <c r="E26" t="str">
        <f>IF(DATA!E28="","",DATA!E28)</f>
        <v/>
      </c>
      <c r="F26" t="str">
        <f>IF(DATA!F28="","",DATA!F28)</f>
        <v/>
      </c>
      <c r="G26" t="str">
        <f>IF(DATA!G28="","",DATA!G28)</f>
        <v/>
      </c>
      <c r="H26" t="str">
        <f>IF(DATA!H28="","",DATA!H28)</f>
        <v/>
      </c>
      <c r="I26" t="str">
        <f>IF(DATA!I28="","",DATA!I28)</f>
        <v/>
      </c>
      <c r="J26" t="str">
        <f>IF(DATA!J28="","",DATA!J28)</f>
        <v/>
      </c>
      <c r="L26" t="str">
        <f t="shared" si="18"/>
        <v/>
      </c>
      <c r="M26" t="str">
        <f t="shared" si="0"/>
        <v/>
      </c>
      <c r="N26" t="str">
        <f t="shared" si="1"/>
        <v/>
      </c>
      <c r="O26" t="str">
        <f t="shared" si="2"/>
        <v/>
      </c>
      <c r="P26" t="str">
        <f t="shared" si="3"/>
        <v/>
      </c>
      <c r="Q26" t="str">
        <f t="shared" si="4"/>
        <v/>
      </c>
      <c r="R26" t="str">
        <f t="shared" si="5"/>
        <v/>
      </c>
      <c r="S26" t="str">
        <f t="shared" si="6"/>
        <v/>
      </c>
      <c r="T26" t="str">
        <f t="shared" si="7"/>
        <v/>
      </c>
      <c r="U26" t="str">
        <f>IF(L26="","",L26*DATA!B4)</f>
        <v/>
      </c>
      <c r="V26" t="str">
        <f>IF(M26="","",M26*DATA!C4)</f>
        <v/>
      </c>
      <c r="W26" t="str">
        <f>IF(N26="","",N26*DATA!D4)</f>
        <v/>
      </c>
      <c r="X26" t="str">
        <f>IF(O26="","",O26*DATA!E4)</f>
        <v/>
      </c>
      <c r="Y26" t="str">
        <f>IF(P26="","",P26*DATA!F4)</f>
        <v/>
      </c>
      <c r="Z26" t="str">
        <f>IF(Q26="","",Q26*DATA!G4)</f>
        <v/>
      </c>
      <c r="AA26" t="str">
        <f>IF(R26="","",R26*DATA!H4)</f>
        <v/>
      </c>
      <c r="AB26" t="str">
        <f>IF(S26="","",S26*DATA!I4)</f>
        <v/>
      </c>
      <c r="AC26" t="str">
        <f>IF(T26="","",T26*DATA!J4)</f>
        <v/>
      </c>
      <c r="AD26" t="str">
        <f t="shared" si="19"/>
        <v/>
      </c>
      <c r="AE26" t="str">
        <f>IF(U26="","",SQRT(SUMPRODUCT((U26:AC26-U114:AC114)^2)))</f>
        <v/>
      </c>
      <c r="AF26" t="str">
        <f t="shared" si="20"/>
        <v/>
      </c>
    </row>
    <row r="27" spans="1:32">
      <c r="A27" t="str">
        <f>IF(DATA!A29="","",DATA!A29)</f>
        <v/>
      </c>
      <c r="B27" t="str">
        <f>IF(DATA!B29="","",DATA!B29)</f>
        <v/>
      </c>
      <c r="C27" t="str">
        <f>IF(DATA!C29="","",DATA!C29)</f>
        <v/>
      </c>
      <c r="D27" t="str">
        <f>IF(DATA!D29="","",DATA!D29)</f>
        <v/>
      </c>
      <c r="E27" t="str">
        <f>IF(DATA!E29="","",DATA!E29)</f>
        <v/>
      </c>
      <c r="F27" t="str">
        <f>IF(DATA!F29="","",DATA!F29)</f>
        <v/>
      </c>
      <c r="G27" t="str">
        <f>IF(DATA!G29="","",DATA!G29)</f>
        <v/>
      </c>
      <c r="H27" t="str">
        <f>IF(DATA!H29="","",DATA!H29)</f>
        <v/>
      </c>
      <c r="I27" t="str">
        <f>IF(DATA!I29="","",DATA!I29)</f>
        <v/>
      </c>
      <c r="J27" t="str">
        <f>IF(DATA!J29="","",DATA!J29)</f>
        <v/>
      </c>
      <c r="L27" t="str">
        <f t="shared" si="18"/>
        <v/>
      </c>
      <c r="M27" t="str">
        <f t="shared" si="0"/>
        <v/>
      </c>
      <c r="N27" t="str">
        <f t="shared" si="1"/>
        <v/>
      </c>
      <c r="O27" t="str">
        <f t="shared" si="2"/>
        <v/>
      </c>
      <c r="P27" t="str">
        <f t="shared" si="3"/>
        <v/>
      </c>
      <c r="Q27" t="str">
        <f t="shared" si="4"/>
        <v/>
      </c>
      <c r="R27" t="str">
        <f t="shared" si="5"/>
        <v/>
      </c>
      <c r="S27" t="str">
        <f t="shared" si="6"/>
        <v/>
      </c>
      <c r="T27" t="str">
        <f t="shared" si="7"/>
        <v/>
      </c>
      <c r="U27" t="str">
        <f>IF(L27="","",L27*DATA!B4)</f>
        <v/>
      </c>
      <c r="V27" t="str">
        <f>IF(M27="","",M27*DATA!C4)</f>
        <v/>
      </c>
      <c r="W27" t="str">
        <f>IF(N27="","",N27*DATA!D4)</f>
        <v/>
      </c>
      <c r="X27" t="str">
        <f>IF(O27="","",O27*DATA!E4)</f>
        <v/>
      </c>
      <c r="Y27" t="str">
        <f>IF(P27="","",P27*DATA!F4)</f>
        <v/>
      </c>
      <c r="Z27" t="str">
        <f>IF(Q27="","",Q27*DATA!G4)</f>
        <v/>
      </c>
      <c r="AA27" t="str">
        <f>IF(R27="","",R27*DATA!H4)</f>
        <v/>
      </c>
      <c r="AB27" t="str">
        <f>IF(S27="","",S27*DATA!I4)</f>
        <v/>
      </c>
      <c r="AC27" t="str">
        <f>IF(T27="","",T27*DATA!J4)</f>
        <v/>
      </c>
      <c r="AD27" t="str">
        <f t="shared" si="19"/>
        <v/>
      </c>
      <c r="AE27" t="str">
        <f>IF(U27="","",SQRT(SUMPRODUCT((U27:AC27-U114:AC114)^2)))</f>
        <v/>
      </c>
      <c r="AF27" t="str">
        <f t="shared" si="20"/>
        <v/>
      </c>
    </row>
    <row r="28" spans="1:32">
      <c r="A28" t="str">
        <f>IF(DATA!A30="","",DATA!A30)</f>
        <v/>
      </c>
      <c r="B28" t="str">
        <f>IF(DATA!B30="","",DATA!B30)</f>
        <v/>
      </c>
      <c r="C28" t="str">
        <f>IF(DATA!C30="","",DATA!C30)</f>
        <v/>
      </c>
      <c r="D28" t="str">
        <f>IF(DATA!D30="","",DATA!D30)</f>
        <v/>
      </c>
      <c r="E28" t="str">
        <f>IF(DATA!E30="","",DATA!E30)</f>
        <v/>
      </c>
      <c r="F28" t="str">
        <f>IF(DATA!F30="","",DATA!F30)</f>
        <v/>
      </c>
      <c r="G28" t="str">
        <f>IF(DATA!G30="","",DATA!G30)</f>
        <v/>
      </c>
      <c r="H28" t="str">
        <f>IF(DATA!H30="","",DATA!H30)</f>
        <v/>
      </c>
      <c r="I28" t="str">
        <f>IF(DATA!I30="","",DATA!I30)</f>
        <v/>
      </c>
      <c r="J28" t="str">
        <f>IF(DATA!J30="","",DATA!J30)</f>
        <v/>
      </c>
      <c r="L28" t="str">
        <f t="shared" si="18"/>
        <v/>
      </c>
      <c r="M28" t="str">
        <f t="shared" si="0"/>
        <v/>
      </c>
      <c r="N28" t="str">
        <f t="shared" si="1"/>
        <v/>
      </c>
      <c r="O28" t="str">
        <f t="shared" si="2"/>
        <v/>
      </c>
      <c r="P28" t="str">
        <f t="shared" si="3"/>
        <v/>
      </c>
      <c r="Q28" t="str">
        <f t="shared" si="4"/>
        <v/>
      </c>
      <c r="R28" t="str">
        <f t="shared" si="5"/>
        <v/>
      </c>
      <c r="S28" t="str">
        <f t="shared" si="6"/>
        <v/>
      </c>
      <c r="T28" t="str">
        <f t="shared" si="7"/>
        <v/>
      </c>
      <c r="U28" t="str">
        <f>IF(L28="","",L28*DATA!B4)</f>
        <v/>
      </c>
      <c r="V28" t="str">
        <f>IF(M28="","",M28*DATA!C4)</f>
        <v/>
      </c>
      <c r="W28" t="str">
        <f>IF(N28="","",N28*DATA!D4)</f>
        <v/>
      </c>
      <c r="X28" t="str">
        <f>IF(O28="","",O28*DATA!E4)</f>
        <v/>
      </c>
      <c r="Y28" t="str">
        <f>IF(P28="","",P28*DATA!F4)</f>
        <v/>
      </c>
      <c r="Z28" t="str">
        <f>IF(Q28="","",Q28*DATA!G4)</f>
        <v/>
      </c>
      <c r="AA28" t="str">
        <f>IF(R28="","",R28*DATA!H4)</f>
        <v/>
      </c>
      <c r="AB28" t="str">
        <f>IF(S28="","",S28*DATA!I4)</f>
        <v/>
      </c>
      <c r="AC28" t="str">
        <f>IF(T28="","",T28*DATA!J4)</f>
        <v/>
      </c>
      <c r="AD28" t="str">
        <f t="shared" si="19"/>
        <v/>
      </c>
      <c r="AE28" t="str">
        <f>IF(U28="","",SQRT(SUMPRODUCT((U28:AC28-U114:AC114)^2)))</f>
        <v/>
      </c>
      <c r="AF28" t="str">
        <f t="shared" si="20"/>
        <v/>
      </c>
    </row>
    <row r="29" spans="1:32">
      <c r="A29" t="str">
        <f>IF(DATA!A31="","",DATA!A31)</f>
        <v/>
      </c>
      <c r="B29" t="str">
        <f>IF(DATA!B31="","",DATA!B31)</f>
        <v/>
      </c>
      <c r="C29" t="str">
        <f>IF(DATA!C31="","",DATA!C31)</f>
        <v/>
      </c>
      <c r="D29" t="str">
        <f>IF(DATA!D31="","",DATA!D31)</f>
        <v/>
      </c>
      <c r="E29" t="str">
        <f>IF(DATA!E31="","",DATA!E31)</f>
        <v/>
      </c>
      <c r="F29" t="str">
        <f>IF(DATA!F31="","",DATA!F31)</f>
        <v/>
      </c>
      <c r="G29" t="str">
        <f>IF(DATA!G31="","",DATA!G31)</f>
        <v/>
      </c>
      <c r="H29" t="str">
        <f>IF(DATA!H31="","",DATA!H31)</f>
        <v/>
      </c>
      <c r="I29" t="str">
        <f>IF(DATA!I31="","",DATA!I31)</f>
        <v/>
      </c>
      <c r="J29" t="str">
        <f>IF(DATA!J31="","",DATA!J31)</f>
        <v/>
      </c>
      <c r="L29" t="str">
        <f t="shared" si="18"/>
        <v/>
      </c>
      <c r="M29" t="str">
        <f t="shared" si="0"/>
        <v/>
      </c>
      <c r="N29" t="str">
        <f t="shared" si="1"/>
        <v/>
      </c>
      <c r="O29" t="str">
        <f t="shared" si="2"/>
        <v/>
      </c>
      <c r="P29" t="str">
        <f t="shared" si="3"/>
        <v/>
      </c>
      <c r="Q29" t="str">
        <f t="shared" si="4"/>
        <v/>
      </c>
      <c r="R29" t="str">
        <f t="shared" si="5"/>
        <v/>
      </c>
      <c r="S29" t="str">
        <f t="shared" si="6"/>
        <v/>
      </c>
      <c r="T29" t="str">
        <f t="shared" si="7"/>
        <v/>
      </c>
      <c r="U29" t="str">
        <f>IF(L29="","",L29*DATA!B4)</f>
        <v/>
      </c>
      <c r="V29" t="str">
        <f>IF(M29="","",M29*DATA!C4)</f>
        <v/>
      </c>
      <c r="W29" t="str">
        <f>IF(N29="","",N29*DATA!D4)</f>
        <v/>
      </c>
      <c r="X29" t="str">
        <f>IF(O29="","",O29*DATA!E4)</f>
        <v/>
      </c>
      <c r="Y29" t="str">
        <f>IF(P29="","",P29*DATA!F4)</f>
        <v/>
      </c>
      <c r="Z29" t="str">
        <f>IF(Q29="","",Q29*DATA!G4)</f>
        <v/>
      </c>
      <c r="AA29" t="str">
        <f>IF(R29="","",R29*DATA!H4)</f>
        <v/>
      </c>
      <c r="AB29" t="str">
        <f>IF(S29="","",S29*DATA!I4)</f>
        <v/>
      </c>
      <c r="AC29" t="str">
        <f>IF(T29="","",T29*DATA!J4)</f>
        <v/>
      </c>
      <c r="AD29" t="str">
        <f t="shared" si="19"/>
        <v/>
      </c>
      <c r="AE29" t="str">
        <f>IF(U29="","",SQRT(SUMPRODUCT((U29:AC29-U114:AC114)^2)))</f>
        <v/>
      </c>
      <c r="AF29" t="str">
        <f t="shared" si="20"/>
        <v/>
      </c>
    </row>
    <row r="30" spans="1:32" hidden="1" outlineLevel="1">
      <c r="A30" t="str">
        <f>IF(DATA!A32="","",DATA!A32)</f>
        <v/>
      </c>
      <c r="B30" t="str">
        <f>IF(DATA!B32="","",DATA!B32)</f>
        <v/>
      </c>
      <c r="C30" t="str">
        <f>IF(DATA!C32="","",DATA!C32)</f>
        <v/>
      </c>
      <c r="D30" t="str">
        <f>IF(DATA!D32="","",DATA!D32)</f>
        <v/>
      </c>
      <c r="E30" t="str">
        <f>IF(DATA!E32="","",DATA!E32)</f>
        <v/>
      </c>
      <c r="F30" t="str">
        <f>IF(DATA!F32="","",DATA!F32)</f>
        <v/>
      </c>
      <c r="G30" t="str">
        <f>IF(DATA!G32="","",DATA!G32)</f>
        <v/>
      </c>
      <c r="H30" t="str">
        <f>IF(DATA!H32="","",DATA!H32)</f>
        <v/>
      </c>
      <c r="I30" t="str">
        <f>IF(DATA!I32="","",DATA!I32)</f>
        <v/>
      </c>
      <c r="J30" t="str">
        <f>IF(DATA!J32="","",DATA!J32)</f>
        <v/>
      </c>
      <c r="L30" t="str">
        <f t="shared" si="18"/>
        <v/>
      </c>
      <c r="M30" t="str">
        <f t="shared" si="0"/>
        <v/>
      </c>
      <c r="N30" t="str">
        <f t="shared" si="1"/>
        <v/>
      </c>
      <c r="O30" t="str">
        <f t="shared" si="2"/>
        <v/>
      </c>
      <c r="P30" t="str">
        <f t="shared" si="3"/>
        <v/>
      </c>
      <c r="Q30" t="str">
        <f t="shared" si="4"/>
        <v/>
      </c>
      <c r="R30" t="str">
        <f t="shared" si="5"/>
        <v/>
      </c>
      <c r="S30" t="str">
        <f t="shared" si="6"/>
        <v/>
      </c>
      <c r="T30" t="str">
        <f t="shared" si="7"/>
        <v/>
      </c>
      <c r="U30" t="str">
        <f>IF(L30="","",L30*DATA!B4)</f>
        <v/>
      </c>
      <c r="V30" t="str">
        <f>IF(M30="","",M30*DATA!C4)</f>
        <v/>
      </c>
      <c r="W30" t="str">
        <f>IF(N30="","",N30*DATA!D4)</f>
        <v/>
      </c>
      <c r="X30" t="str">
        <f>IF(O30="","",O30*DATA!E4)</f>
        <v/>
      </c>
      <c r="Y30" t="str">
        <f>IF(P30="","",P30*DATA!F4)</f>
        <v/>
      </c>
      <c r="Z30" t="str">
        <f>IF(Q30="","",Q30*DATA!G4)</f>
        <v/>
      </c>
      <c r="AA30" t="str">
        <f>IF(R30="","",R30*DATA!H4)</f>
        <v/>
      </c>
      <c r="AB30" t="str">
        <f>IF(S30="","",S30*DATA!I4)</f>
        <v/>
      </c>
      <c r="AC30" t="str">
        <f>IF(T30="","",T30*DATA!J4)</f>
        <v/>
      </c>
      <c r="AD30" t="str">
        <f t="shared" si="19"/>
        <v/>
      </c>
      <c r="AE30" t="str">
        <f>IF(U30="","",SQRT(SUMPRODUCT((U30:AC30-U114:AC114)^2)))</f>
        <v/>
      </c>
      <c r="AF30" t="str">
        <f t="shared" si="20"/>
        <v/>
      </c>
    </row>
    <row r="31" spans="1:32" hidden="1" outlineLevel="1">
      <c r="A31" t="str">
        <f>IF(DATA!A33="","",DATA!A33)</f>
        <v/>
      </c>
      <c r="B31" t="str">
        <f>IF(DATA!B33="","",DATA!B33)</f>
        <v/>
      </c>
      <c r="C31" t="str">
        <f>IF(DATA!C33="","",DATA!C33)</f>
        <v/>
      </c>
      <c r="D31" t="str">
        <f>IF(DATA!D33="","",DATA!D33)</f>
        <v/>
      </c>
      <c r="E31" t="str">
        <f>IF(DATA!E33="","",DATA!E33)</f>
        <v/>
      </c>
      <c r="F31" t="str">
        <f>IF(DATA!F33="","",DATA!F33)</f>
        <v/>
      </c>
      <c r="G31" t="str">
        <f>IF(DATA!G33="","",DATA!G33)</f>
        <v/>
      </c>
      <c r="H31" t="str">
        <f>IF(DATA!H33="","",DATA!H33)</f>
        <v/>
      </c>
      <c r="I31" t="str">
        <f>IF(DATA!I33="","",DATA!I33)</f>
        <v/>
      </c>
      <c r="J31" t="str">
        <f>IF(DATA!J33="","",DATA!J33)</f>
        <v/>
      </c>
      <c r="L31" t="str">
        <f t="shared" si="18"/>
        <v/>
      </c>
      <c r="M31" t="str">
        <f t="shared" si="0"/>
        <v/>
      </c>
      <c r="N31" t="str">
        <f t="shared" si="1"/>
        <v/>
      </c>
      <c r="O31" t="str">
        <f t="shared" si="2"/>
        <v/>
      </c>
      <c r="P31" t="str">
        <f t="shared" si="3"/>
        <v/>
      </c>
      <c r="Q31" t="str">
        <f t="shared" si="4"/>
        <v/>
      </c>
      <c r="R31" t="str">
        <f t="shared" si="5"/>
        <v/>
      </c>
      <c r="S31" t="str">
        <f t="shared" si="6"/>
        <v/>
      </c>
      <c r="T31" t="str">
        <f t="shared" si="7"/>
        <v/>
      </c>
      <c r="U31" t="str">
        <f>IF(L31="","",L31*DATA!B4)</f>
        <v/>
      </c>
      <c r="V31" t="str">
        <f>IF(M31="","",M31*DATA!C4)</f>
        <v/>
      </c>
      <c r="W31" t="str">
        <f>IF(N31="","",N31*DATA!D4)</f>
        <v/>
      </c>
      <c r="X31" t="str">
        <f>IF(O31="","",O31*DATA!E4)</f>
        <v/>
      </c>
      <c r="Y31" t="str">
        <f>IF(P31="","",P31*DATA!F4)</f>
        <v/>
      </c>
      <c r="Z31" t="str">
        <f>IF(Q31="","",Q31*DATA!G4)</f>
        <v/>
      </c>
      <c r="AA31" t="str">
        <f>IF(R31="","",R31*DATA!H4)</f>
        <v/>
      </c>
      <c r="AB31" t="str">
        <f>IF(S31="","",S31*DATA!I4)</f>
        <v/>
      </c>
      <c r="AC31" t="str">
        <f>IF(T31="","",T31*DATA!J4)</f>
        <v/>
      </c>
      <c r="AD31" t="str">
        <f t="shared" si="19"/>
        <v/>
      </c>
      <c r="AE31" t="str">
        <f>IF(U31="","",SQRT(SUMPRODUCT((U31:AC31-U114:AC114)^2)))</f>
        <v/>
      </c>
      <c r="AF31" t="str">
        <f t="shared" si="20"/>
        <v/>
      </c>
    </row>
    <row r="32" spans="1:32" hidden="1" outlineLevel="1">
      <c r="A32" t="str">
        <f>IF(DATA!A34="","",DATA!A34)</f>
        <v/>
      </c>
      <c r="B32" t="str">
        <f>IF(DATA!B34="","",DATA!B34)</f>
        <v/>
      </c>
      <c r="C32" t="str">
        <f>IF(DATA!C34="","",DATA!C34)</f>
        <v/>
      </c>
      <c r="D32" t="str">
        <f>IF(DATA!D34="","",DATA!D34)</f>
        <v/>
      </c>
      <c r="E32" t="str">
        <f>IF(DATA!E34="","",DATA!E34)</f>
        <v/>
      </c>
      <c r="F32" t="str">
        <f>IF(DATA!F34="","",DATA!F34)</f>
        <v/>
      </c>
      <c r="G32" t="str">
        <f>IF(DATA!G34="","",DATA!G34)</f>
        <v/>
      </c>
      <c r="H32" t="str">
        <f>IF(DATA!H34="","",DATA!H34)</f>
        <v/>
      </c>
      <c r="I32" t="str">
        <f>IF(DATA!I34="","",DATA!I34)</f>
        <v/>
      </c>
      <c r="J32" t="str">
        <f>IF(DATA!J34="","",DATA!J34)</f>
        <v/>
      </c>
      <c r="L32" t="str">
        <f t="shared" si="18"/>
        <v/>
      </c>
      <c r="M32" t="str">
        <f t="shared" si="0"/>
        <v/>
      </c>
      <c r="N32" t="str">
        <f t="shared" si="1"/>
        <v/>
      </c>
      <c r="O32" t="str">
        <f t="shared" si="2"/>
        <v/>
      </c>
      <c r="P32" t="str">
        <f t="shared" si="3"/>
        <v/>
      </c>
      <c r="Q32" t="str">
        <f t="shared" si="4"/>
        <v/>
      </c>
      <c r="R32" t="str">
        <f t="shared" si="5"/>
        <v/>
      </c>
      <c r="S32" t="str">
        <f t="shared" si="6"/>
        <v/>
      </c>
      <c r="T32" t="str">
        <f t="shared" si="7"/>
        <v/>
      </c>
      <c r="U32" t="str">
        <f>IF(L32="","",L32*DATA!B4)</f>
        <v/>
      </c>
      <c r="V32" t="str">
        <f>IF(M32="","",M32*DATA!C4)</f>
        <v/>
      </c>
      <c r="W32" t="str">
        <f>IF(N32="","",N32*DATA!D4)</f>
        <v/>
      </c>
      <c r="X32" t="str">
        <f>IF(O32="","",O32*DATA!E4)</f>
        <v/>
      </c>
      <c r="Y32" t="str">
        <f>IF(P32="","",P32*DATA!F4)</f>
        <v/>
      </c>
      <c r="Z32" t="str">
        <f>IF(Q32="","",Q32*DATA!G4)</f>
        <v/>
      </c>
      <c r="AA32" t="str">
        <f>IF(R32="","",R32*DATA!H4)</f>
        <v/>
      </c>
      <c r="AB32" t="str">
        <f>IF(S32="","",S32*DATA!I4)</f>
        <v/>
      </c>
      <c r="AC32" t="str">
        <f>IF(T32="","",T32*DATA!J4)</f>
        <v/>
      </c>
      <c r="AD32" t="str">
        <f t="shared" si="19"/>
        <v/>
      </c>
      <c r="AE32" t="str">
        <f>IF(U32="","",SQRT(SUMPRODUCT((U32:AC32-U114:AC114)^2)))</f>
        <v/>
      </c>
      <c r="AF32" t="str">
        <f t="shared" si="20"/>
        <v/>
      </c>
    </row>
    <row r="33" spans="1:32" hidden="1" outlineLevel="1">
      <c r="A33" t="str">
        <f>IF(DATA!A35="","",DATA!A35)</f>
        <v/>
      </c>
      <c r="B33" t="str">
        <f>IF(DATA!B35="","",DATA!B35)</f>
        <v/>
      </c>
      <c r="C33" t="str">
        <f>IF(DATA!C35="","",DATA!C35)</f>
        <v/>
      </c>
      <c r="D33" t="str">
        <f>IF(DATA!D35="","",DATA!D35)</f>
        <v/>
      </c>
      <c r="E33" t="str">
        <f>IF(DATA!E35="","",DATA!E35)</f>
        <v/>
      </c>
      <c r="F33" t="str">
        <f>IF(DATA!F35="","",DATA!F35)</f>
        <v/>
      </c>
      <c r="G33" t="str">
        <f>IF(DATA!G35="","",DATA!G35)</f>
        <v/>
      </c>
      <c r="H33" t="str">
        <f>IF(DATA!H35="","",DATA!H35)</f>
        <v/>
      </c>
      <c r="I33" t="str">
        <f>IF(DATA!I35="","",DATA!I35)</f>
        <v/>
      </c>
      <c r="J33" t="str">
        <f>IF(DATA!J35="","",DATA!J35)</f>
        <v/>
      </c>
      <c r="L33" t="str">
        <f t="shared" si="18"/>
        <v/>
      </c>
      <c r="M33" t="str">
        <f t="shared" si="0"/>
        <v/>
      </c>
      <c r="N33" t="str">
        <f t="shared" si="1"/>
        <v/>
      </c>
      <c r="O33" t="str">
        <f t="shared" si="2"/>
        <v/>
      </c>
      <c r="P33" t="str">
        <f t="shared" si="3"/>
        <v/>
      </c>
      <c r="Q33" t="str">
        <f t="shared" si="4"/>
        <v/>
      </c>
      <c r="R33" t="str">
        <f t="shared" si="5"/>
        <v/>
      </c>
      <c r="S33" t="str">
        <f t="shared" si="6"/>
        <v/>
      </c>
      <c r="T33" t="str">
        <f t="shared" si="7"/>
        <v/>
      </c>
      <c r="U33" t="str">
        <f>IF(L33="","",L33*DATA!B4)</f>
        <v/>
      </c>
      <c r="V33" t="str">
        <f>IF(M33="","",M33*DATA!C4)</f>
        <v/>
      </c>
      <c r="W33" t="str">
        <f>IF(N33="","",N33*DATA!D4)</f>
        <v/>
      </c>
      <c r="X33" t="str">
        <f>IF(O33="","",O33*DATA!E4)</f>
        <v/>
      </c>
      <c r="Y33" t="str">
        <f>IF(P33="","",P33*DATA!F4)</f>
        <v/>
      </c>
      <c r="Z33" t="str">
        <f>IF(Q33="","",Q33*DATA!G4)</f>
        <v/>
      </c>
      <c r="AA33" t="str">
        <f>IF(R33="","",R33*DATA!H4)</f>
        <v/>
      </c>
      <c r="AB33" t="str">
        <f>IF(S33="","",S33*DATA!I4)</f>
        <v/>
      </c>
      <c r="AC33" t="str">
        <f>IF(T33="","",T33*DATA!J4)</f>
        <v/>
      </c>
      <c r="AD33" t="str">
        <f t="shared" si="19"/>
        <v/>
      </c>
      <c r="AE33" t="str">
        <f>IF(U33="","",SQRT(SUMPRODUCT((U33:AC33-U114:AC114)^2)))</f>
        <v/>
      </c>
      <c r="AF33" t="str">
        <f t="shared" si="20"/>
        <v/>
      </c>
    </row>
    <row r="34" spans="1:32" hidden="1" outlineLevel="1">
      <c r="A34" t="str">
        <f>IF(DATA!A36="","",DATA!A36)</f>
        <v/>
      </c>
      <c r="B34" t="str">
        <f>IF(DATA!B36="","",DATA!B36)</f>
        <v/>
      </c>
      <c r="C34" t="str">
        <f>IF(DATA!C36="","",DATA!C36)</f>
        <v/>
      </c>
      <c r="D34" t="str">
        <f>IF(DATA!D36="","",DATA!D36)</f>
        <v/>
      </c>
      <c r="E34" t="str">
        <f>IF(DATA!E36="","",DATA!E36)</f>
        <v/>
      </c>
      <c r="F34" t="str">
        <f>IF(DATA!F36="","",DATA!F36)</f>
        <v/>
      </c>
      <c r="G34" t="str">
        <f>IF(DATA!G36="","",DATA!G36)</f>
        <v/>
      </c>
      <c r="H34" t="str">
        <f>IF(DATA!H36="","",DATA!H36)</f>
        <v/>
      </c>
      <c r="I34" t="str">
        <f>IF(DATA!I36="","",DATA!I36)</f>
        <v/>
      </c>
      <c r="J34" t="str">
        <f>IF(DATA!J36="","",DATA!J36)</f>
        <v/>
      </c>
      <c r="L34" t="str">
        <f t="shared" si="18"/>
        <v/>
      </c>
      <c r="M34" t="str">
        <f t="shared" si="0"/>
        <v/>
      </c>
      <c r="N34" t="str">
        <f t="shared" si="1"/>
        <v/>
      </c>
      <c r="O34" t="str">
        <f t="shared" si="2"/>
        <v/>
      </c>
      <c r="P34" t="str">
        <f t="shared" si="3"/>
        <v/>
      </c>
      <c r="Q34" t="str">
        <f t="shared" si="4"/>
        <v/>
      </c>
      <c r="R34" t="str">
        <f t="shared" si="5"/>
        <v/>
      </c>
      <c r="S34" t="str">
        <f t="shared" si="6"/>
        <v/>
      </c>
      <c r="T34" t="str">
        <f t="shared" si="7"/>
        <v/>
      </c>
      <c r="U34" t="str">
        <f>IF(L34="","",L34*DATA!B4)</f>
        <v/>
      </c>
      <c r="V34" t="str">
        <f>IF(M34="","",M34*DATA!C4)</f>
        <v/>
      </c>
      <c r="W34" t="str">
        <f>IF(N34="","",N34*DATA!D4)</f>
        <v/>
      </c>
      <c r="X34" t="str">
        <f>IF(O34="","",O34*DATA!E4)</f>
        <v/>
      </c>
      <c r="Y34" t="str">
        <f>IF(P34="","",P34*DATA!F4)</f>
        <v/>
      </c>
      <c r="Z34" t="str">
        <f>IF(Q34="","",Q34*DATA!G4)</f>
        <v/>
      </c>
      <c r="AA34" t="str">
        <f>IF(R34="","",R34*DATA!H4)</f>
        <v/>
      </c>
      <c r="AB34" t="str">
        <f>IF(S34="","",S34*DATA!I4)</f>
        <v/>
      </c>
      <c r="AC34" t="str">
        <f>IF(T34="","",T34*DATA!J4)</f>
        <v/>
      </c>
      <c r="AD34" t="str">
        <f t="shared" si="19"/>
        <v/>
      </c>
      <c r="AE34" t="str">
        <f>IF(U34="","",SQRT(SUMPRODUCT((U34:AC34-U114:AC114)^2)))</f>
        <v/>
      </c>
      <c r="AF34" t="str">
        <f t="shared" si="20"/>
        <v/>
      </c>
    </row>
    <row r="35" spans="1:32" hidden="1" outlineLevel="1">
      <c r="A35" t="str">
        <f>IF(DATA!A37="","",DATA!A37)</f>
        <v/>
      </c>
      <c r="B35" t="str">
        <f>IF(DATA!B37="","",DATA!B37)</f>
        <v/>
      </c>
      <c r="C35" t="str">
        <f>IF(DATA!C37="","",DATA!C37)</f>
        <v/>
      </c>
      <c r="D35" t="str">
        <f>IF(DATA!D37="","",DATA!D37)</f>
        <v/>
      </c>
      <c r="E35" t="str">
        <f>IF(DATA!E37="","",DATA!E37)</f>
        <v/>
      </c>
      <c r="F35" t="str">
        <f>IF(DATA!F37="","",DATA!F37)</f>
        <v/>
      </c>
      <c r="G35" t="str">
        <f>IF(DATA!G37="","",DATA!G37)</f>
        <v/>
      </c>
      <c r="H35" t="str">
        <f>IF(DATA!H37="","",DATA!H37)</f>
        <v/>
      </c>
      <c r="I35" t="str">
        <f>IF(DATA!I37="","",DATA!I37)</f>
        <v/>
      </c>
      <c r="J35" t="str">
        <f>IF(DATA!J37="","",DATA!J37)</f>
        <v/>
      </c>
      <c r="L35" t="str">
        <f t="shared" si="18"/>
        <v/>
      </c>
      <c r="M35" t="str">
        <f t="shared" si="0"/>
        <v/>
      </c>
      <c r="N35" t="str">
        <f t="shared" si="1"/>
        <v/>
      </c>
      <c r="O35" t="str">
        <f t="shared" si="2"/>
        <v/>
      </c>
      <c r="P35" t="str">
        <f t="shared" si="3"/>
        <v/>
      </c>
      <c r="Q35" t="str">
        <f t="shared" si="4"/>
        <v/>
      </c>
      <c r="R35" t="str">
        <f t="shared" si="5"/>
        <v/>
      </c>
      <c r="S35" t="str">
        <f t="shared" si="6"/>
        <v/>
      </c>
      <c r="T35" t="str">
        <f t="shared" si="7"/>
        <v/>
      </c>
      <c r="U35" t="str">
        <f>IF(L35="","",L35*DATA!B4)</f>
        <v/>
      </c>
      <c r="V35" t="str">
        <f>IF(M35="","",M35*DATA!C4)</f>
        <v/>
      </c>
      <c r="W35" t="str">
        <f>IF(N35="","",N35*DATA!D4)</f>
        <v/>
      </c>
      <c r="X35" t="str">
        <f>IF(O35="","",O35*DATA!E4)</f>
        <v/>
      </c>
      <c r="Y35" t="str">
        <f>IF(P35="","",P35*DATA!F4)</f>
        <v/>
      </c>
      <c r="Z35" t="str">
        <f>IF(Q35="","",Q35*DATA!G4)</f>
        <v/>
      </c>
      <c r="AA35" t="str">
        <f>IF(R35="","",R35*DATA!H4)</f>
        <v/>
      </c>
      <c r="AB35" t="str">
        <f>IF(S35="","",S35*DATA!I4)</f>
        <v/>
      </c>
      <c r="AC35" t="str">
        <f>IF(T35="","",T35*DATA!J4)</f>
        <v/>
      </c>
      <c r="AD35" t="str">
        <f t="shared" si="19"/>
        <v/>
      </c>
      <c r="AE35" t="str">
        <f>IF(U35="","",SQRT(SUMPRODUCT((U35:AC35-U114:AC114)^2)))</f>
        <v/>
      </c>
      <c r="AF35" t="str">
        <f t="shared" si="20"/>
        <v/>
      </c>
    </row>
    <row r="36" spans="1:32" hidden="1" outlineLevel="1">
      <c r="A36" t="str">
        <f>IF(DATA!A38="","",DATA!A38)</f>
        <v/>
      </c>
      <c r="B36" t="str">
        <f>IF(DATA!B38="","",DATA!B38)</f>
        <v/>
      </c>
      <c r="C36" t="str">
        <f>IF(DATA!C38="","",DATA!C38)</f>
        <v/>
      </c>
      <c r="D36" t="str">
        <f>IF(DATA!D38="","",DATA!D38)</f>
        <v/>
      </c>
      <c r="E36" t="str">
        <f>IF(DATA!E38="","",DATA!E38)</f>
        <v/>
      </c>
      <c r="F36" t="str">
        <f>IF(DATA!F38="","",DATA!F38)</f>
        <v/>
      </c>
      <c r="G36" t="str">
        <f>IF(DATA!G38="","",DATA!G38)</f>
        <v/>
      </c>
      <c r="H36" t="str">
        <f>IF(DATA!H38="","",DATA!H38)</f>
        <v/>
      </c>
      <c r="I36" t="str">
        <f>IF(DATA!I38="","",DATA!I38)</f>
        <v/>
      </c>
      <c r="J36" t="str">
        <f>IF(DATA!J38="","",DATA!J38)</f>
        <v/>
      </c>
      <c r="L36" t="str">
        <f t="shared" si="18"/>
        <v/>
      </c>
      <c r="M36" t="str">
        <f t="shared" si="0"/>
        <v/>
      </c>
      <c r="N36" t="str">
        <f t="shared" si="1"/>
        <v/>
      </c>
      <c r="O36" t="str">
        <f t="shared" si="2"/>
        <v/>
      </c>
      <c r="P36" t="str">
        <f t="shared" si="3"/>
        <v/>
      </c>
      <c r="Q36" t="str">
        <f t="shared" si="4"/>
        <v/>
      </c>
      <c r="R36" t="str">
        <f t="shared" si="5"/>
        <v/>
      </c>
      <c r="S36" t="str">
        <f t="shared" si="6"/>
        <v/>
      </c>
      <c r="T36" t="str">
        <f t="shared" si="7"/>
        <v/>
      </c>
      <c r="U36" t="str">
        <f>IF(L36="","",L36*DATA!B4)</f>
        <v/>
      </c>
      <c r="V36" t="str">
        <f>IF(M36="","",M36*DATA!C4)</f>
        <v/>
      </c>
      <c r="W36" t="str">
        <f>IF(N36="","",N36*DATA!D4)</f>
        <v/>
      </c>
      <c r="X36" t="str">
        <f>IF(O36="","",O36*DATA!E4)</f>
        <v/>
      </c>
      <c r="Y36" t="str">
        <f>IF(P36="","",P36*DATA!F4)</f>
        <v/>
      </c>
      <c r="Z36" t="str">
        <f>IF(Q36="","",Q36*DATA!G4)</f>
        <v/>
      </c>
      <c r="AA36" t="str">
        <f>IF(R36="","",R36*DATA!H4)</f>
        <v/>
      </c>
      <c r="AB36" t="str">
        <f>IF(S36="","",S36*DATA!I4)</f>
        <v/>
      </c>
      <c r="AC36" t="str">
        <f>IF(T36="","",T36*DATA!J4)</f>
        <v/>
      </c>
      <c r="AD36" t="str">
        <f t="shared" si="19"/>
        <v/>
      </c>
      <c r="AE36" t="str">
        <f>IF(U36="","",SQRT(SUMPRODUCT((U36:AC36-U114:AC114)^2)))</f>
        <v/>
      </c>
      <c r="AF36" t="str">
        <f t="shared" si="20"/>
        <v/>
      </c>
    </row>
    <row r="37" spans="1:32" hidden="1" outlineLevel="1">
      <c r="A37" t="str">
        <f>IF(DATA!A39="","",DATA!A39)</f>
        <v/>
      </c>
      <c r="B37" t="str">
        <f>IF(DATA!B39="","",DATA!B39)</f>
        <v/>
      </c>
      <c r="C37" t="str">
        <f>IF(DATA!C39="","",DATA!C39)</f>
        <v/>
      </c>
      <c r="D37" t="str">
        <f>IF(DATA!D39="","",DATA!D39)</f>
        <v/>
      </c>
      <c r="E37" t="str">
        <f>IF(DATA!E39="","",DATA!E39)</f>
        <v/>
      </c>
      <c r="F37" t="str">
        <f>IF(DATA!F39="","",DATA!F39)</f>
        <v/>
      </c>
      <c r="G37" t="str">
        <f>IF(DATA!G39="","",DATA!G39)</f>
        <v/>
      </c>
      <c r="H37" t="str">
        <f>IF(DATA!H39="","",DATA!H39)</f>
        <v/>
      </c>
      <c r="I37" t="str">
        <f>IF(DATA!I39="","",DATA!I39)</f>
        <v/>
      </c>
      <c r="J37" t="str">
        <f>IF(DATA!J39="","",DATA!J39)</f>
        <v/>
      </c>
      <c r="L37" t="str">
        <f t="shared" si="18"/>
        <v/>
      </c>
      <c r="M37" t="str">
        <f t="shared" si="0"/>
        <v/>
      </c>
      <c r="N37" t="str">
        <f t="shared" si="1"/>
        <v/>
      </c>
      <c r="O37" t="str">
        <f t="shared" si="2"/>
        <v/>
      </c>
      <c r="P37" t="str">
        <f t="shared" si="3"/>
        <v/>
      </c>
      <c r="Q37" t="str">
        <f t="shared" si="4"/>
        <v/>
      </c>
      <c r="R37" t="str">
        <f t="shared" si="5"/>
        <v/>
      </c>
      <c r="S37" t="str">
        <f t="shared" si="6"/>
        <v/>
      </c>
      <c r="T37" t="str">
        <f t="shared" si="7"/>
        <v/>
      </c>
      <c r="U37" t="str">
        <f>IF(L37="","",L37*DATA!B4)</f>
        <v/>
      </c>
      <c r="V37" t="str">
        <f>IF(M37="","",M37*DATA!C4)</f>
        <v/>
      </c>
      <c r="W37" t="str">
        <f>IF(N37="","",N37*DATA!D4)</f>
        <v/>
      </c>
      <c r="X37" t="str">
        <f>IF(O37="","",O37*DATA!E4)</f>
        <v/>
      </c>
      <c r="Y37" t="str">
        <f>IF(P37="","",P37*DATA!F4)</f>
        <v/>
      </c>
      <c r="Z37" t="str">
        <f>IF(Q37="","",Q37*DATA!G4)</f>
        <v/>
      </c>
      <c r="AA37" t="str">
        <f>IF(R37="","",R37*DATA!H4)</f>
        <v/>
      </c>
      <c r="AB37" t="str">
        <f>IF(S37="","",S37*DATA!I4)</f>
        <v/>
      </c>
      <c r="AC37" t="str">
        <f>IF(T37="","",T37*DATA!J4)</f>
        <v/>
      </c>
      <c r="AD37" t="str">
        <f t="shared" si="19"/>
        <v/>
      </c>
      <c r="AE37" t="str">
        <f>IF(U37="","",SQRT(SUMPRODUCT((U37:AC37-U114:AC114)^2)))</f>
        <v/>
      </c>
      <c r="AF37" t="str">
        <f t="shared" si="20"/>
        <v/>
      </c>
    </row>
    <row r="38" spans="1:32" hidden="1" outlineLevel="1">
      <c r="A38" t="str">
        <f>IF(DATA!A40="","",DATA!A40)</f>
        <v/>
      </c>
      <c r="B38" t="str">
        <f>IF(DATA!B40="","",DATA!B40)</f>
        <v/>
      </c>
      <c r="C38" t="str">
        <f>IF(DATA!C40="","",DATA!C40)</f>
        <v/>
      </c>
      <c r="D38" t="str">
        <f>IF(DATA!D40="","",DATA!D40)</f>
        <v/>
      </c>
      <c r="E38" t="str">
        <f>IF(DATA!E40="","",DATA!E40)</f>
        <v/>
      </c>
      <c r="F38" t="str">
        <f>IF(DATA!F40="","",DATA!F40)</f>
        <v/>
      </c>
      <c r="G38" t="str">
        <f>IF(DATA!G40="","",DATA!G40)</f>
        <v/>
      </c>
      <c r="H38" t="str">
        <f>IF(DATA!H40="","",DATA!H40)</f>
        <v/>
      </c>
      <c r="I38" t="str">
        <f>IF(DATA!I40="","",DATA!I40)</f>
        <v/>
      </c>
      <c r="J38" t="str">
        <f>IF(DATA!J40="","",DATA!J40)</f>
        <v/>
      </c>
      <c r="L38" t="str">
        <f t="shared" ref="L38:L69" si="21">IF(B38="","",B38/SQRT(SUMSQ(B$6:B$105)))</f>
        <v/>
      </c>
      <c r="M38" t="str">
        <f t="shared" ref="M38:M69" si="22">IF(C38="","",C38/SQRT(SUMSQ(C$6:C$105)))</f>
        <v/>
      </c>
      <c r="N38" t="str">
        <f t="shared" ref="N38:N69" si="23">IF(D38="","",D38/SQRT(SUMSQ(D$6:D$105)))</f>
        <v/>
      </c>
      <c r="O38" t="str">
        <f t="shared" ref="O38:O69" si="24">IF(E38="","",E38/SQRT(SUMSQ(E$6:E$105)))</f>
        <v/>
      </c>
      <c r="P38" t="str">
        <f t="shared" ref="P38:P69" si="25">IF(F38="","",F38/SQRT(SUMSQ(F$6:F$105)))</f>
        <v/>
      </c>
      <c r="Q38" t="str">
        <f t="shared" ref="Q38:Q69" si="26">IF(G38="","",G38/SQRT(SUMSQ(G$6:G$105)))</f>
        <v/>
      </c>
      <c r="R38" t="str">
        <f t="shared" ref="R38:R69" si="27">IF(H38="","",H38/SQRT(SUMSQ(H$6:H$105)))</f>
        <v/>
      </c>
      <c r="S38" t="str">
        <f t="shared" ref="S38:S69" si="28">IF(I38="","",I38/SQRT(SUMSQ(I$6:I$105)))</f>
        <v/>
      </c>
      <c r="T38" t="str">
        <f t="shared" ref="T38:T69" si="29">IF(J38="","",J38/SQRT(SUMSQ(J$6:J$105)))</f>
        <v/>
      </c>
      <c r="U38" t="str">
        <f>IF(L38="","",L38*DATA!B4)</f>
        <v/>
      </c>
      <c r="V38" t="str">
        <f>IF(M38="","",M38*DATA!C4)</f>
        <v/>
      </c>
      <c r="W38" t="str">
        <f>IF(N38="","",N38*DATA!D4)</f>
        <v/>
      </c>
      <c r="X38" t="str">
        <f>IF(O38="","",O38*DATA!E4)</f>
        <v/>
      </c>
      <c r="Y38" t="str">
        <f>IF(P38="","",P38*DATA!F4)</f>
        <v/>
      </c>
      <c r="Z38" t="str">
        <f>IF(Q38="","",Q38*DATA!G4)</f>
        <v/>
      </c>
      <c r="AA38" t="str">
        <f>IF(R38="","",R38*DATA!H4)</f>
        <v/>
      </c>
      <c r="AB38" t="str">
        <f>IF(S38="","",S38*DATA!I4)</f>
        <v/>
      </c>
      <c r="AC38" t="str">
        <f>IF(T38="","",T38*DATA!J4)</f>
        <v/>
      </c>
      <c r="AD38" t="str">
        <f t="shared" si="19"/>
        <v/>
      </c>
      <c r="AE38" t="str">
        <f>IF(U38="","",SQRT(SUMPRODUCT((U38:AC38-U114:AC114)^2)))</f>
        <v/>
      </c>
      <c r="AF38" t="str">
        <f t="shared" si="20"/>
        <v/>
      </c>
    </row>
    <row r="39" spans="1:32" hidden="1" outlineLevel="1">
      <c r="A39" t="str">
        <f>IF(DATA!A41="","",DATA!A41)</f>
        <v/>
      </c>
      <c r="B39" t="str">
        <f>IF(DATA!B41="","",DATA!B41)</f>
        <v/>
      </c>
      <c r="C39" t="str">
        <f>IF(DATA!C41="","",DATA!C41)</f>
        <v/>
      </c>
      <c r="D39" t="str">
        <f>IF(DATA!D41="","",DATA!D41)</f>
        <v/>
      </c>
      <c r="E39" t="str">
        <f>IF(DATA!E41="","",DATA!E41)</f>
        <v/>
      </c>
      <c r="F39" t="str">
        <f>IF(DATA!F41="","",DATA!F41)</f>
        <v/>
      </c>
      <c r="G39" t="str">
        <f>IF(DATA!G41="","",DATA!G41)</f>
        <v/>
      </c>
      <c r="H39" t="str">
        <f>IF(DATA!H41="","",DATA!H41)</f>
        <v/>
      </c>
      <c r="I39" t="str">
        <f>IF(DATA!I41="","",DATA!I41)</f>
        <v/>
      </c>
      <c r="J39" t="str">
        <f>IF(DATA!J41="","",DATA!J41)</f>
        <v/>
      </c>
      <c r="L39" t="str">
        <f t="shared" si="21"/>
        <v/>
      </c>
      <c r="M39" t="str">
        <f t="shared" si="22"/>
        <v/>
      </c>
      <c r="N39" t="str">
        <f t="shared" si="23"/>
        <v/>
      </c>
      <c r="O39" t="str">
        <f t="shared" si="24"/>
        <v/>
      </c>
      <c r="P39" t="str">
        <f t="shared" si="25"/>
        <v/>
      </c>
      <c r="Q39" t="str">
        <f t="shared" si="26"/>
        <v/>
      </c>
      <c r="R39" t="str">
        <f t="shared" si="27"/>
        <v/>
      </c>
      <c r="S39" t="str">
        <f t="shared" si="28"/>
        <v/>
      </c>
      <c r="T39" t="str">
        <f t="shared" si="29"/>
        <v/>
      </c>
      <c r="U39" t="str">
        <f>IF(L39="","",L39*DATA!B4)</f>
        <v/>
      </c>
      <c r="V39" t="str">
        <f>IF(M39="","",M39*DATA!C4)</f>
        <v/>
      </c>
      <c r="W39" t="str">
        <f>IF(N39="","",N39*DATA!D4)</f>
        <v/>
      </c>
      <c r="X39" t="str">
        <f>IF(O39="","",O39*DATA!E4)</f>
        <v/>
      </c>
      <c r="Y39" t="str">
        <f>IF(P39="","",P39*DATA!F4)</f>
        <v/>
      </c>
      <c r="Z39" t="str">
        <f>IF(Q39="","",Q39*DATA!G4)</f>
        <v/>
      </c>
      <c r="AA39" t="str">
        <f>IF(R39="","",R39*DATA!H4)</f>
        <v/>
      </c>
      <c r="AB39" t="str">
        <f>IF(S39="","",S39*DATA!I4)</f>
        <v/>
      </c>
      <c r="AC39" t="str">
        <f>IF(T39="","",T39*DATA!J4)</f>
        <v/>
      </c>
      <c r="AD39" t="str">
        <f t="shared" si="19"/>
        <v/>
      </c>
      <c r="AE39" t="str">
        <f>IF(U39="","",SQRT(SUMPRODUCT((U39:AC39-U114:AC114)^2)))</f>
        <v/>
      </c>
      <c r="AF39" t="str">
        <f t="shared" si="20"/>
        <v/>
      </c>
    </row>
    <row r="40" spans="1:32" hidden="1" outlineLevel="1">
      <c r="A40" t="str">
        <f>IF(DATA!A42="","",DATA!A42)</f>
        <v/>
      </c>
      <c r="B40" t="str">
        <f>IF(DATA!B42="","",DATA!B42)</f>
        <v/>
      </c>
      <c r="C40" t="str">
        <f>IF(DATA!C42="","",DATA!C42)</f>
        <v/>
      </c>
      <c r="D40" t="str">
        <f>IF(DATA!D42="","",DATA!D42)</f>
        <v/>
      </c>
      <c r="E40" t="str">
        <f>IF(DATA!E42="","",DATA!E42)</f>
        <v/>
      </c>
      <c r="F40" t="str">
        <f>IF(DATA!F42="","",DATA!F42)</f>
        <v/>
      </c>
      <c r="G40" t="str">
        <f>IF(DATA!G42="","",DATA!G42)</f>
        <v/>
      </c>
      <c r="H40" t="str">
        <f>IF(DATA!H42="","",DATA!H42)</f>
        <v/>
      </c>
      <c r="I40" t="str">
        <f>IF(DATA!I42="","",DATA!I42)</f>
        <v/>
      </c>
      <c r="J40" t="str">
        <f>IF(DATA!J42="","",DATA!J42)</f>
        <v/>
      </c>
      <c r="L40" t="str">
        <f t="shared" si="21"/>
        <v/>
      </c>
      <c r="M40" t="str">
        <f t="shared" si="22"/>
        <v/>
      </c>
      <c r="N40" t="str">
        <f t="shared" si="23"/>
        <v/>
      </c>
      <c r="O40" t="str">
        <f t="shared" si="24"/>
        <v/>
      </c>
      <c r="P40" t="str">
        <f t="shared" si="25"/>
        <v/>
      </c>
      <c r="Q40" t="str">
        <f t="shared" si="26"/>
        <v/>
      </c>
      <c r="R40" t="str">
        <f t="shared" si="27"/>
        <v/>
      </c>
      <c r="S40" t="str">
        <f t="shared" si="28"/>
        <v/>
      </c>
      <c r="T40" t="str">
        <f t="shared" si="29"/>
        <v/>
      </c>
      <c r="U40" t="str">
        <f>IF(L40="","",L40*DATA!B4)</f>
        <v/>
      </c>
      <c r="V40" t="str">
        <f>IF(M40="","",M40*DATA!C4)</f>
        <v/>
      </c>
      <c r="W40" t="str">
        <f>IF(N40="","",N40*DATA!D4)</f>
        <v/>
      </c>
      <c r="X40" t="str">
        <f>IF(O40="","",O40*DATA!E4)</f>
        <v/>
      </c>
      <c r="Y40" t="str">
        <f>IF(P40="","",P40*DATA!F4)</f>
        <v/>
      </c>
      <c r="Z40" t="str">
        <f>IF(Q40="","",Q40*DATA!G4)</f>
        <v/>
      </c>
      <c r="AA40" t="str">
        <f>IF(R40="","",R40*DATA!H4)</f>
        <v/>
      </c>
      <c r="AB40" t="str">
        <f>IF(S40="","",S40*DATA!I4)</f>
        <v/>
      </c>
      <c r="AC40" t="str">
        <f>IF(T40="","",T40*DATA!J4)</f>
        <v/>
      </c>
      <c r="AD40" t="str">
        <f t="shared" si="19"/>
        <v/>
      </c>
      <c r="AE40" t="str">
        <f>IF(U40="","",SQRT(SUMPRODUCT((U40:AC40-U114:AC114)^2)))</f>
        <v/>
      </c>
      <c r="AF40" t="str">
        <f t="shared" si="20"/>
        <v/>
      </c>
    </row>
    <row r="41" spans="1:32" hidden="1" outlineLevel="1">
      <c r="A41" t="str">
        <f>IF(DATA!A43="","",DATA!A43)</f>
        <v/>
      </c>
      <c r="B41" t="str">
        <f>IF(DATA!B43="","",DATA!B43)</f>
        <v/>
      </c>
      <c r="C41" t="str">
        <f>IF(DATA!C43="","",DATA!C43)</f>
        <v/>
      </c>
      <c r="D41" t="str">
        <f>IF(DATA!D43="","",DATA!D43)</f>
        <v/>
      </c>
      <c r="E41" t="str">
        <f>IF(DATA!E43="","",DATA!E43)</f>
        <v/>
      </c>
      <c r="F41" t="str">
        <f>IF(DATA!F43="","",DATA!F43)</f>
        <v/>
      </c>
      <c r="G41" t="str">
        <f>IF(DATA!G43="","",DATA!G43)</f>
        <v/>
      </c>
      <c r="H41" t="str">
        <f>IF(DATA!H43="","",DATA!H43)</f>
        <v/>
      </c>
      <c r="I41" t="str">
        <f>IF(DATA!I43="","",DATA!I43)</f>
        <v/>
      </c>
      <c r="J41" t="str">
        <f>IF(DATA!J43="","",DATA!J43)</f>
        <v/>
      </c>
      <c r="L41" t="str">
        <f t="shared" si="21"/>
        <v/>
      </c>
      <c r="M41" t="str">
        <f t="shared" si="22"/>
        <v/>
      </c>
      <c r="N41" t="str">
        <f t="shared" si="23"/>
        <v/>
      </c>
      <c r="O41" t="str">
        <f t="shared" si="24"/>
        <v/>
      </c>
      <c r="P41" t="str">
        <f t="shared" si="25"/>
        <v/>
      </c>
      <c r="Q41" t="str">
        <f t="shared" si="26"/>
        <v/>
      </c>
      <c r="R41" t="str">
        <f t="shared" si="27"/>
        <v/>
      </c>
      <c r="S41" t="str">
        <f t="shared" si="28"/>
        <v/>
      </c>
      <c r="T41" t="str">
        <f t="shared" si="29"/>
        <v/>
      </c>
      <c r="U41" t="str">
        <f>IF(L41="","",L41*DATA!B4)</f>
        <v/>
      </c>
      <c r="V41" t="str">
        <f>IF(M41="","",M41*DATA!C4)</f>
        <v/>
      </c>
      <c r="W41" t="str">
        <f>IF(N41="","",N41*DATA!D4)</f>
        <v/>
      </c>
      <c r="X41" t="str">
        <f>IF(O41="","",O41*DATA!E4)</f>
        <v/>
      </c>
      <c r="Y41" t="str">
        <f>IF(P41="","",P41*DATA!F4)</f>
        <v/>
      </c>
      <c r="Z41" t="str">
        <f>IF(Q41="","",Q41*DATA!G4)</f>
        <v/>
      </c>
      <c r="AA41" t="str">
        <f>IF(R41="","",R41*DATA!H4)</f>
        <v/>
      </c>
      <c r="AB41" t="str">
        <f>IF(S41="","",S41*DATA!I4)</f>
        <v/>
      </c>
      <c r="AC41" t="str">
        <f>IF(T41="","",T41*DATA!J4)</f>
        <v/>
      </c>
      <c r="AD41" t="str">
        <f t="shared" si="19"/>
        <v/>
      </c>
      <c r="AE41" t="str">
        <f>IF(U41="","",SQRT(SUMPRODUCT((U41:AC41-U114:AC114)^2)))</f>
        <v/>
      </c>
      <c r="AF41" t="str">
        <f t="shared" si="20"/>
        <v/>
      </c>
    </row>
    <row r="42" spans="1:32" hidden="1" outlineLevel="1">
      <c r="A42" t="str">
        <f>IF(DATA!A44="","",DATA!A44)</f>
        <v/>
      </c>
      <c r="B42" t="str">
        <f>IF(DATA!B44="","",DATA!B44)</f>
        <v/>
      </c>
      <c r="C42" t="str">
        <f>IF(DATA!C44="","",DATA!C44)</f>
        <v/>
      </c>
      <c r="D42" t="str">
        <f>IF(DATA!D44="","",DATA!D44)</f>
        <v/>
      </c>
      <c r="E42" t="str">
        <f>IF(DATA!E44="","",DATA!E44)</f>
        <v/>
      </c>
      <c r="F42" t="str">
        <f>IF(DATA!F44="","",DATA!F44)</f>
        <v/>
      </c>
      <c r="G42" t="str">
        <f>IF(DATA!G44="","",DATA!G44)</f>
        <v/>
      </c>
      <c r="H42" t="str">
        <f>IF(DATA!H44="","",DATA!H44)</f>
        <v/>
      </c>
      <c r="I42" t="str">
        <f>IF(DATA!I44="","",DATA!I44)</f>
        <v/>
      </c>
      <c r="J42" t="str">
        <f>IF(DATA!J44="","",DATA!J44)</f>
        <v/>
      </c>
      <c r="L42" t="str">
        <f t="shared" si="21"/>
        <v/>
      </c>
      <c r="M42" t="str">
        <f t="shared" si="22"/>
        <v/>
      </c>
      <c r="N42" t="str">
        <f t="shared" si="23"/>
        <v/>
      </c>
      <c r="O42" t="str">
        <f t="shared" si="24"/>
        <v/>
      </c>
      <c r="P42" t="str">
        <f t="shared" si="25"/>
        <v/>
      </c>
      <c r="Q42" t="str">
        <f t="shared" si="26"/>
        <v/>
      </c>
      <c r="R42" t="str">
        <f t="shared" si="27"/>
        <v/>
      </c>
      <c r="S42" t="str">
        <f t="shared" si="28"/>
        <v/>
      </c>
      <c r="T42" t="str">
        <f t="shared" si="29"/>
        <v/>
      </c>
      <c r="U42" t="str">
        <f>IF(L42="","",L42*DATA!B4)</f>
        <v/>
      </c>
      <c r="V42" t="str">
        <f>IF(M42="","",M42*DATA!C4)</f>
        <v/>
      </c>
      <c r="W42" t="str">
        <f>IF(N42="","",N42*DATA!D4)</f>
        <v/>
      </c>
      <c r="X42" t="str">
        <f>IF(O42="","",O42*DATA!E4)</f>
        <v/>
      </c>
      <c r="Y42" t="str">
        <f>IF(P42="","",P42*DATA!F4)</f>
        <v/>
      </c>
      <c r="Z42" t="str">
        <f>IF(Q42="","",Q42*DATA!G4)</f>
        <v/>
      </c>
      <c r="AA42" t="str">
        <f>IF(R42="","",R42*DATA!H4)</f>
        <v/>
      </c>
      <c r="AB42" t="str">
        <f>IF(S42="","",S42*DATA!I4)</f>
        <v/>
      </c>
      <c r="AC42" t="str">
        <f>IF(T42="","",T42*DATA!J4)</f>
        <v/>
      </c>
      <c r="AD42" t="str">
        <f t="shared" si="19"/>
        <v/>
      </c>
      <c r="AE42" t="str">
        <f>IF(U42="","",SQRT(SUMPRODUCT((U42:AC42-U114:AC114)^2)))</f>
        <v/>
      </c>
      <c r="AF42" t="str">
        <f t="shared" si="20"/>
        <v/>
      </c>
    </row>
    <row r="43" spans="1:32" hidden="1" outlineLevel="1">
      <c r="A43" t="str">
        <f>IF(DATA!A45="","",DATA!A45)</f>
        <v/>
      </c>
      <c r="B43" t="str">
        <f>IF(DATA!B45="","",DATA!B45)</f>
        <v/>
      </c>
      <c r="C43" t="str">
        <f>IF(DATA!C45="","",DATA!C45)</f>
        <v/>
      </c>
      <c r="D43" t="str">
        <f>IF(DATA!D45="","",DATA!D45)</f>
        <v/>
      </c>
      <c r="E43" t="str">
        <f>IF(DATA!E45="","",DATA!E45)</f>
        <v/>
      </c>
      <c r="F43" t="str">
        <f>IF(DATA!F45="","",DATA!F45)</f>
        <v/>
      </c>
      <c r="G43" t="str">
        <f>IF(DATA!G45="","",DATA!G45)</f>
        <v/>
      </c>
      <c r="H43" t="str">
        <f>IF(DATA!H45="","",DATA!H45)</f>
        <v/>
      </c>
      <c r="I43" t="str">
        <f>IF(DATA!I45="","",DATA!I45)</f>
        <v/>
      </c>
      <c r="J43" t="str">
        <f>IF(DATA!J45="","",DATA!J45)</f>
        <v/>
      </c>
      <c r="L43" t="str">
        <f t="shared" si="21"/>
        <v/>
      </c>
      <c r="M43" t="str">
        <f t="shared" si="22"/>
        <v/>
      </c>
      <c r="N43" t="str">
        <f t="shared" si="23"/>
        <v/>
      </c>
      <c r="O43" t="str">
        <f t="shared" si="24"/>
        <v/>
      </c>
      <c r="P43" t="str">
        <f t="shared" si="25"/>
        <v/>
      </c>
      <c r="Q43" t="str">
        <f t="shared" si="26"/>
        <v/>
      </c>
      <c r="R43" t="str">
        <f t="shared" si="27"/>
        <v/>
      </c>
      <c r="S43" t="str">
        <f t="shared" si="28"/>
        <v/>
      </c>
      <c r="T43" t="str">
        <f t="shared" si="29"/>
        <v/>
      </c>
      <c r="U43" t="str">
        <f>IF(L43="","",L43*DATA!B4)</f>
        <v/>
      </c>
      <c r="V43" t="str">
        <f>IF(M43="","",M43*DATA!C4)</f>
        <v/>
      </c>
      <c r="W43" t="str">
        <f>IF(N43="","",N43*DATA!D4)</f>
        <v/>
      </c>
      <c r="X43" t="str">
        <f>IF(O43="","",O43*DATA!E4)</f>
        <v/>
      </c>
      <c r="Y43" t="str">
        <f>IF(P43="","",P43*DATA!F4)</f>
        <v/>
      </c>
      <c r="Z43" t="str">
        <f>IF(Q43="","",Q43*DATA!G4)</f>
        <v/>
      </c>
      <c r="AA43" t="str">
        <f>IF(R43="","",R43*DATA!H4)</f>
        <v/>
      </c>
      <c r="AB43" t="str">
        <f>IF(S43="","",S43*DATA!I4)</f>
        <v/>
      </c>
      <c r="AC43" t="str">
        <f>IF(T43="","",T43*DATA!J4)</f>
        <v/>
      </c>
      <c r="AD43" t="str">
        <f t="shared" si="19"/>
        <v/>
      </c>
      <c r="AE43" t="str">
        <f>IF(U43="","",SQRT(SUMPRODUCT((U43:AC43-U114:AC114)^2)))</f>
        <v/>
      </c>
      <c r="AF43" t="str">
        <f t="shared" si="20"/>
        <v/>
      </c>
    </row>
    <row r="44" spans="1:32" hidden="1" outlineLevel="1">
      <c r="A44" t="str">
        <f>IF(DATA!A46="","",DATA!A46)</f>
        <v/>
      </c>
      <c r="B44" t="str">
        <f>IF(DATA!B46="","",DATA!B46)</f>
        <v/>
      </c>
      <c r="C44" t="str">
        <f>IF(DATA!C46="","",DATA!C46)</f>
        <v/>
      </c>
      <c r="D44" t="str">
        <f>IF(DATA!D46="","",DATA!D46)</f>
        <v/>
      </c>
      <c r="E44" t="str">
        <f>IF(DATA!E46="","",DATA!E46)</f>
        <v/>
      </c>
      <c r="F44" t="str">
        <f>IF(DATA!F46="","",DATA!F46)</f>
        <v/>
      </c>
      <c r="G44" t="str">
        <f>IF(DATA!G46="","",DATA!G46)</f>
        <v/>
      </c>
      <c r="H44" t="str">
        <f>IF(DATA!H46="","",DATA!H46)</f>
        <v/>
      </c>
      <c r="I44" t="str">
        <f>IF(DATA!I46="","",DATA!I46)</f>
        <v/>
      </c>
      <c r="J44" t="str">
        <f>IF(DATA!J46="","",DATA!J46)</f>
        <v/>
      </c>
      <c r="L44" t="str">
        <f t="shared" si="21"/>
        <v/>
      </c>
      <c r="M44" t="str">
        <f t="shared" si="22"/>
        <v/>
      </c>
      <c r="N44" t="str">
        <f t="shared" si="23"/>
        <v/>
      </c>
      <c r="O44" t="str">
        <f t="shared" si="24"/>
        <v/>
      </c>
      <c r="P44" t="str">
        <f t="shared" si="25"/>
        <v/>
      </c>
      <c r="Q44" t="str">
        <f t="shared" si="26"/>
        <v/>
      </c>
      <c r="R44" t="str">
        <f t="shared" si="27"/>
        <v/>
      </c>
      <c r="S44" t="str">
        <f t="shared" si="28"/>
        <v/>
      </c>
      <c r="T44" t="str">
        <f t="shared" si="29"/>
        <v/>
      </c>
      <c r="U44" t="str">
        <f>IF(L44="","",L44*DATA!B4)</f>
        <v/>
      </c>
      <c r="V44" t="str">
        <f>IF(M44="","",M44*DATA!C4)</f>
        <v/>
      </c>
      <c r="W44" t="str">
        <f>IF(N44="","",N44*DATA!D4)</f>
        <v/>
      </c>
      <c r="X44" t="str">
        <f>IF(O44="","",O44*DATA!E4)</f>
        <v/>
      </c>
      <c r="Y44" t="str">
        <f>IF(P44="","",P44*DATA!F4)</f>
        <v/>
      </c>
      <c r="Z44" t="str">
        <f>IF(Q44="","",Q44*DATA!G4)</f>
        <v/>
      </c>
      <c r="AA44" t="str">
        <f>IF(R44="","",R44*DATA!H4)</f>
        <v/>
      </c>
      <c r="AB44" t="str">
        <f>IF(S44="","",S44*DATA!I4)</f>
        <v/>
      </c>
      <c r="AC44" t="str">
        <f>IF(T44="","",T44*DATA!J4)</f>
        <v/>
      </c>
      <c r="AD44" t="str">
        <f>IF(U44="","",SQRT(SUMPRODUCT((U44:AC44-#REF!)^2)))</f>
        <v/>
      </c>
      <c r="AE44" t="str">
        <f>IF(U44="","",SQRT(SUMPRODUCT((U44:AC44-U114:AC114)^2)))</f>
        <v/>
      </c>
      <c r="AF44" t="str">
        <f t="shared" si="20"/>
        <v/>
      </c>
    </row>
    <row r="45" spans="1:32" hidden="1" outlineLevel="1">
      <c r="A45" t="str">
        <f>IF(DATA!A47="","",DATA!A47)</f>
        <v/>
      </c>
      <c r="B45" t="str">
        <f>IF(DATA!B47="","",DATA!B47)</f>
        <v/>
      </c>
      <c r="C45" t="str">
        <f>IF(DATA!C47="","",DATA!C47)</f>
        <v/>
      </c>
      <c r="D45" t="str">
        <f>IF(DATA!D47="","",DATA!D47)</f>
        <v/>
      </c>
      <c r="E45" t="str">
        <f>IF(DATA!E47="","",DATA!E47)</f>
        <v/>
      </c>
      <c r="F45" t="str">
        <f>IF(DATA!F47="","",DATA!F47)</f>
        <v/>
      </c>
      <c r="G45" t="str">
        <f>IF(DATA!G47="","",DATA!G47)</f>
        <v/>
      </c>
      <c r="H45" t="str">
        <f>IF(DATA!H47="","",DATA!H47)</f>
        <v/>
      </c>
      <c r="I45" t="str">
        <f>IF(DATA!I47="","",DATA!I47)</f>
        <v/>
      </c>
      <c r="J45" t="str">
        <f>IF(DATA!J47="","",DATA!J47)</f>
        <v/>
      </c>
      <c r="L45" t="str">
        <f t="shared" si="21"/>
        <v/>
      </c>
      <c r="M45" t="str">
        <f t="shared" si="22"/>
        <v/>
      </c>
      <c r="N45" t="str">
        <f t="shared" si="23"/>
        <v/>
      </c>
      <c r="O45" t="str">
        <f t="shared" si="24"/>
        <v/>
      </c>
      <c r="P45" t="str">
        <f t="shared" si="25"/>
        <v/>
      </c>
      <c r="Q45" t="str">
        <f t="shared" si="26"/>
        <v/>
      </c>
      <c r="R45" t="str">
        <f t="shared" si="27"/>
        <v/>
      </c>
      <c r="S45" t="str">
        <f t="shared" si="28"/>
        <v/>
      </c>
      <c r="T45" t="str">
        <f t="shared" si="29"/>
        <v/>
      </c>
      <c r="U45" t="str">
        <f>IF(L45="","",L45*DATA!B4)</f>
        <v/>
      </c>
      <c r="V45" t="str">
        <f>IF(M45="","",M45*DATA!C4)</f>
        <v/>
      </c>
      <c r="W45" t="str">
        <f>IF(N45="","",N45*DATA!D4)</f>
        <v/>
      </c>
      <c r="X45" t="str">
        <f>IF(O45="","",O45*DATA!E4)</f>
        <v/>
      </c>
      <c r="Y45" t="str">
        <f>IF(P45="","",P45*DATA!F4)</f>
        <v/>
      </c>
      <c r="Z45" t="str">
        <f>IF(Q45="","",Q45*DATA!G4)</f>
        <v/>
      </c>
      <c r="AA45" t="str">
        <f>IF(R45="","",R45*DATA!H4)</f>
        <v/>
      </c>
      <c r="AB45" t="str">
        <f>IF(S45="","",S45*DATA!I4)</f>
        <v/>
      </c>
      <c r="AC45" t="str">
        <f>IF(T45="","",T45*DATA!J4)</f>
        <v/>
      </c>
      <c r="AD45" t="str">
        <f>IF(U45="","",SQRT(SUMPRODUCT((U45:AC45-#REF!)^2)))</f>
        <v/>
      </c>
      <c r="AE45" t="str">
        <f>IF(U45="","",SQRT(SUMPRODUCT((U45:AC45-U114:AC114)^2)))</f>
        <v/>
      </c>
      <c r="AF45" t="str">
        <f t="shared" si="20"/>
        <v/>
      </c>
    </row>
    <row r="46" spans="1:32" hidden="1" outlineLevel="1">
      <c r="A46" t="str">
        <f>IF(DATA!A48="","",DATA!A48)</f>
        <v/>
      </c>
      <c r="B46" t="str">
        <f>IF(DATA!B48="","",DATA!B48)</f>
        <v/>
      </c>
      <c r="C46" t="str">
        <f>IF(DATA!C48="","",DATA!C48)</f>
        <v/>
      </c>
      <c r="D46" t="str">
        <f>IF(DATA!D48="","",DATA!D48)</f>
        <v/>
      </c>
      <c r="E46" t="str">
        <f>IF(DATA!E48="","",DATA!E48)</f>
        <v/>
      </c>
      <c r="F46" t="str">
        <f>IF(DATA!F48="","",DATA!F48)</f>
        <v/>
      </c>
      <c r="G46" t="str">
        <f>IF(DATA!G48="","",DATA!G48)</f>
        <v/>
      </c>
      <c r="H46" t="str">
        <f>IF(DATA!H48="","",DATA!H48)</f>
        <v/>
      </c>
      <c r="I46" t="str">
        <f>IF(DATA!I48="","",DATA!I48)</f>
        <v/>
      </c>
      <c r="J46" t="str">
        <f>IF(DATA!J48="","",DATA!J48)</f>
        <v/>
      </c>
      <c r="L46" t="str">
        <f t="shared" si="21"/>
        <v/>
      </c>
      <c r="M46" t="str">
        <f t="shared" si="22"/>
        <v/>
      </c>
      <c r="N46" t="str">
        <f t="shared" si="23"/>
        <v/>
      </c>
      <c r="O46" t="str">
        <f t="shared" si="24"/>
        <v/>
      </c>
      <c r="P46" t="str">
        <f t="shared" si="25"/>
        <v/>
      </c>
      <c r="Q46" t="str">
        <f t="shared" si="26"/>
        <v/>
      </c>
      <c r="R46" t="str">
        <f t="shared" si="27"/>
        <v/>
      </c>
      <c r="S46" t="str">
        <f t="shared" si="28"/>
        <v/>
      </c>
      <c r="T46" t="str">
        <f t="shared" si="29"/>
        <v/>
      </c>
      <c r="U46" t="str">
        <f>IF(L46="","",L46*DATA!B4)</f>
        <v/>
      </c>
      <c r="V46" t="str">
        <f>IF(M46="","",M46*DATA!C4)</f>
        <v/>
      </c>
      <c r="W46" t="str">
        <f>IF(N46="","",N46*DATA!D4)</f>
        <v/>
      </c>
      <c r="X46" t="str">
        <f>IF(O46="","",O46*DATA!E4)</f>
        <v/>
      </c>
      <c r="Y46" t="str">
        <f>IF(P46="","",P46*DATA!F4)</f>
        <v/>
      </c>
      <c r="Z46" t="str">
        <f>IF(Q46="","",Q46*DATA!G4)</f>
        <v/>
      </c>
      <c r="AA46" t="str">
        <f>IF(R46="","",R46*DATA!H4)</f>
        <v/>
      </c>
      <c r="AB46" t="str">
        <f>IF(S46="","",S46*DATA!I4)</f>
        <v/>
      </c>
      <c r="AC46" t="str">
        <f>IF(T46="","",T46*DATA!J4)</f>
        <v/>
      </c>
      <c r="AD46" t="str">
        <f>IF(U46="","",SQRT(SUMPRODUCT((U46:AC46-#REF!)^2)))</f>
        <v/>
      </c>
      <c r="AE46" t="str">
        <f>IF(U46="","",SQRT(SUMPRODUCT((U46:AC46-U114:AC114)^2)))</f>
        <v/>
      </c>
      <c r="AF46" t="str">
        <f t="shared" si="20"/>
        <v/>
      </c>
    </row>
    <row r="47" spans="1:32" hidden="1" outlineLevel="1">
      <c r="A47" t="str">
        <f>IF(DATA!A49="","",DATA!A49)</f>
        <v/>
      </c>
      <c r="B47" t="str">
        <f>IF(DATA!B49="","",DATA!B49)</f>
        <v/>
      </c>
      <c r="C47" t="str">
        <f>IF(DATA!C49="","",DATA!C49)</f>
        <v/>
      </c>
      <c r="D47" t="str">
        <f>IF(DATA!D49="","",DATA!D49)</f>
        <v/>
      </c>
      <c r="E47" t="str">
        <f>IF(DATA!E49="","",DATA!E49)</f>
        <v/>
      </c>
      <c r="F47" t="str">
        <f>IF(DATA!F49="","",DATA!F49)</f>
        <v/>
      </c>
      <c r="G47" t="str">
        <f>IF(DATA!G49="","",DATA!G49)</f>
        <v/>
      </c>
      <c r="H47" t="str">
        <f>IF(DATA!H49="","",DATA!H49)</f>
        <v/>
      </c>
      <c r="I47" t="str">
        <f>IF(DATA!I49="","",DATA!I49)</f>
        <v/>
      </c>
      <c r="J47" t="str">
        <f>IF(DATA!J49="","",DATA!J49)</f>
        <v/>
      </c>
      <c r="L47" t="str">
        <f t="shared" si="21"/>
        <v/>
      </c>
      <c r="M47" t="str">
        <f t="shared" si="22"/>
        <v/>
      </c>
      <c r="N47" t="str">
        <f t="shared" si="23"/>
        <v/>
      </c>
      <c r="O47" t="str">
        <f t="shared" si="24"/>
        <v/>
      </c>
      <c r="P47" t="str">
        <f t="shared" si="25"/>
        <v/>
      </c>
      <c r="Q47" t="str">
        <f t="shared" si="26"/>
        <v/>
      </c>
      <c r="R47" t="str">
        <f t="shared" si="27"/>
        <v/>
      </c>
      <c r="S47" t="str">
        <f t="shared" si="28"/>
        <v/>
      </c>
      <c r="T47" t="str">
        <f t="shared" si="29"/>
        <v/>
      </c>
      <c r="U47" t="str">
        <f>IF(L47="","",L47*DATA!B4)</f>
        <v/>
      </c>
      <c r="V47" t="str">
        <f>IF(M47="","",M47*DATA!C4)</f>
        <v/>
      </c>
      <c r="W47" t="str">
        <f>IF(N47="","",N47*DATA!D4)</f>
        <v/>
      </c>
      <c r="X47" t="str">
        <f>IF(O47="","",O47*DATA!E4)</f>
        <v/>
      </c>
      <c r="Y47" t="str">
        <f>IF(P47="","",P47*DATA!F4)</f>
        <v/>
      </c>
      <c r="Z47" t="str">
        <f>IF(Q47="","",Q47*DATA!G4)</f>
        <v/>
      </c>
      <c r="AA47" t="str">
        <f>IF(R47="","",R47*DATA!H4)</f>
        <v/>
      </c>
      <c r="AB47" t="str">
        <f>IF(S47="","",S47*DATA!I4)</f>
        <v/>
      </c>
      <c r="AC47" t="str">
        <f>IF(T47="","",T47*DATA!J4)</f>
        <v/>
      </c>
      <c r="AD47" t="str">
        <f>IF(U47="","",SQRT(SUMPRODUCT((U47:AC47-#REF!)^2)))</f>
        <v/>
      </c>
      <c r="AE47" t="str">
        <f>IF(U47="","",SQRT(SUMPRODUCT((U47:AC47-U114:AC114)^2)))</f>
        <v/>
      </c>
      <c r="AF47" t="str">
        <f t="shared" si="20"/>
        <v/>
      </c>
    </row>
    <row r="48" spans="1:32" hidden="1" outlineLevel="1">
      <c r="A48" t="str">
        <f>IF(DATA!A50="","",DATA!A50)</f>
        <v/>
      </c>
      <c r="B48" t="str">
        <f>IF(DATA!B50="","",DATA!B50)</f>
        <v/>
      </c>
      <c r="C48" t="str">
        <f>IF(DATA!C50="","",DATA!C50)</f>
        <v/>
      </c>
      <c r="D48" t="str">
        <f>IF(DATA!D50="","",DATA!D50)</f>
        <v/>
      </c>
      <c r="E48" t="str">
        <f>IF(DATA!E50="","",DATA!E50)</f>
        <v/>
      </c>
      <c r="F48" t="str">
        <f>IF(DATA!F50="","",DATA!F50)</f>
        <v/>
      </c>
      <c r="G48" t="str">
        <f>IF(DATA!G50="","",DATA!G50)</f>
        <v/>
      </c>
      <c r="H48" t="str">
        <f>IF(DATA!H50="","",DATA!H50)</f>
        <v/>
      </c>
      <c r="I48" t="str">
        <f>IF(DATA!I50="","",DATA!I50)</f>
        <v/>
      </c>
      <c r="J48" t="str">
        <f>IF(DATA!J50="","",DATA!J50)</f>
        <v/>
      </c>
      <c r="L48" t="str">
        <f t="shared" si="21"/>
        <v/>
      </c>
      <c r="M48" t="str">
        <f t="shared" si="22"/>
        <v/>
      </c>
      <c r="N48" t="str">
        <f t="shared" si="23"/>
        <v/>
      </c>
      <c r="O48" t="str">
        <f t="shared" si="24"/>
        <v/>
      </c>
      <c r="P48" t="str">
        <f t="shared" si="25"/>
        <v/>
      </c>
      <c r="Q48" t="str">
        <f t="shared" si="26"/>
        <v/>
      </c>
      <c r="R48" t="str">
        <f t="shared" si="27"/>
        <v/>
      </c>
      <c r="S48" t="str">
        <f t="shared" si="28"/>
        <v/>
      </c>
      <c r="T48" t="str">
        <f t="shared" si="29"/>
        <v/>
      </c>
      <c r="U48" t="str">
        <f>IF(L48="","",L48*DATA!B4)</f>
        <v/>
      </c>
      <c r="V48" t="str">
        <f>IF(M48="","",M48*DATA!C4)</f>
        <v/>
      </c>
      <c r="W48" t="str">
        <f>IF(N48="","",N48*DATA!D4)</f>
        <v/>
      </c>
      <c r="X48" t="str">
        <f>IF(O48="","",O48*DATA!E4)</f>
        <v/>
      </c>
      <c r="Y48" t="str">
        <f>IF(P48="","",P48*DATA!F4)</f>
        <v/>
      </c>
      <c r="Z48" t="str">
        <f>IF(Q48="","",Q48*DATA!G4)</f>
        <v/>
      </c>
      <c r="AA48" t="str">
        <f>IF(R48="","",R48*DATA!H4)</f>
        <v/>
      </c>
      <c r="AB48" t="str">
        <f>IF(S48="","",S48*DATA!I4)</f>
        <v/>
      </c>
      <c r="AC48" t="str">
        <f>IF(T48="","",T48*DATA!J4)</f>
        <v/>
      </c>
      <c r="AD48" t="str">
        <f>IF(U48="","",SQRT(SUMPRODUCT((U48:AC48-#REF!)^2)))</f>
        <v/>
      </c>
      <c r="AE48" t="str">
        <f>IF(U48="","",SQRT(SUMPRODUCT((U48:AC48-U114:AC114)^2)))</f>
        <v/>
      </c>
      <c r="AF48" t="str">
        <f t="shared" si="20"/>
        <v/>
      </c>
    </row>
    <row r="49" spans="1:32" hidden="1" outlineLevel="1">
      <c r="A49" t="str">
        <f>IF(DATA!A51="","",DATA!A51)</f>
        <v/>
      </c>
      <c r="B49" t="str">
        <f>IF(DATA!B51="","",DATA!B51)</f>
        <v/>
      </c>
      <c r="C49" t="str">
        <f>IF(DATA!C51="","",DATA!C51)</f>
        <v/>
      </c>
      <c r="D49" t="str">
        <f>IF(DATA!D51="","",DATA!D51)</f>
        <v/>
      </c>
      <c r="E49" t="str">
        <f>IF(DATA!E51="","",DATA!E51)</f>
        <v/>
      </c>
      <c r="F49" t="str">
        <f>IF(DATA!F51="","",DATA!F51)</f>
        <v/>
      </c>
      <c r="G49" t="str">
        <f>IF(DATA!G51="","",DATA!G51)</f>
        <v/>
      </c>
      <c r="H49" t="str">
        <f>IF(DATA!H51="","",DATA!H51)</f>
        <v/>
      </c>
      <c r="I49" t="str">
        <f>IF(DATA!I51="","",DATA!I51)</f>
        <v/>
      </c>
      <c r="J49" t="str">
        <f>IF(DATA!J51="","",DATA!J51)</f>
        <v/>
      </c>
      <c r="L49" t="str">
        <f t="shared" si="21"/>
        <v/>
      </c>
      <c r="M49" t="str">
        <f t="shared" si="22"/>
        <v/>
      </c>
      <c r="N49" t="str">
        <f t="shared" si="23"/>
        <v/>
      </c>
      <c r="O49" t="str">
        <f t="shared" si="24"/>
        <v/>
      </c>
      <c r="P49" t="str">
        <f t="shared" si="25"/>
        <v/>
      </c>
      <c r="Q49" t="str">
        <f t="shared" si="26"/>
        <v/>
      </c>
      <c r="R49" t="str">
        <f t="shared" si="27"/>
        <v/>
      </c>
      <c r="S49" t="str">
        <f t="shared" si="28"/>
        <v/>
      </c>
      <c r="T49" t="str">
        <f t="shared" si="29"/>
        <v/>
      </c>
      <c r="U49" t="str">
        <f>IF(L49="","",L49*DATA!B4)</f>
        <v/>
      </c>
      <c r="V49" t="str">
        <f>IF(M49="","",M49*DATA!C4)</f>
        <v/>
      </c>
      <c r="W49" t="str">
        <f>IF(N49="","",N49*DATA!D4)</f>
        <v/>
      </c>
      <c r="X49" t="str">
        <f>IF(O49="","",O49*DATA!E4)</f>
        <v/>
      </c>
      <c r="Y49" t="str">
        <f>IF(P49="","",P49*DATA!F4)</f>
        <v/>
      </c>
      <c r="Z49" t="str">
        <f>IF(Q49="","",Q49*DATA!G4)</f>
        <v/>
      </c>
      <c r="AA49" t="str">
        <f>IF(R49="","",R49*DATA!H4)</f>
        <v/>
      </c>
      <c r="AB49" t="str">
        <f>IF(S49="","",S49*DATA!I4)</f>
        <v/>
      </c>
      <c r="AC49" t="str">
        <f>IF(T49="","",T49*DATA!J4)</f>
        <v/>
      </c>
      <c r="AD49" t="str">
        <f>IF(U49="","",SQRT(SUMPRODUCT((U49:AC49-#REF!)^2)))</f>
        <v/>
      </c>
      <c r="AE49" t="str">
        <f>IF(U49="","",SQRT(SUMPRODUCT((U49:AC49-U114:AC114)^2)))</f>
        <v/>
      </c>
      <c r="AF49" t="str">
        <f t="shared" si="20"/>
        <v/>
      </c>
    </row>
    <row r="50" spans="1:32" hidden="1" outlineLevel="1">
      <c r="A50" t="str">
        <f>IF(DATA!A52="","",DATA!A52)</f>
        <v/>
      </c>
      <c r="B50" t="str">
        <f>IF(DATA!B52="","",DATA!B52)</f>
        <v/>
      </c>
      <c r="C50" t="str">
        <f>IF(DATA!C52="","",DATA!C52)</f>
        <v/>
      </c>
      <c r="D50" t="str">
        <f>IF(DATA!D52="","",DATA!D52)</f>
        <v/>
      </c>
      <c r="E50" t="str">
        <f>IF(DATA!E52="","",DATA!E52)</f>
        <v/>
      </c>
      <c r="F50" t="str">
        <f>IF(DATA!F52="","",DATA!F52)</f>
        <v/>
      </c>
      <c r="G50" t="str">
        <f>IF(DATA!G52="","",DATA!G52)</f>
        <v/>
      </c>
      <c r="H50" t="str">
        <f>IF(DATA!H52="","",DATA!H52)</f>
        <v/>
      </c>
      <c r="I50" t="str">
        <f>IF(DATA!I52="","",DATA!I52)</f>
        <v/>
      </c>
      <c r="J50" t="str">
        <f>IF(DATA!J52="","",DATA!J52)</f>
        <v/>
      </c>
      <c r="L50" t="str">
        <f t="shared" si="21"/>
        <v/>
      </c>
      <c r="M50" t="str">
        <f t="shared" si="22"/>
        <v/>
      </c>
      <c r="N50" t="str">
        <f t="shared" si="23"/>
        <v/>
      </c>
      <c r="O50" t="str">
        <f t="shared" si="24"/>
        <v/>
      </c>
      <c r="P50" t="str">
        <f t="shared" si="25"/>
        <v/>
      </c>
      <c r="Q50" t="str">
        <f t="shared" si="26"/>
        <v/>
      </c>
      <c r="R50" t="str">
        <f t="shared" si="27"/>
        <v/>
      </c>
      <c r="S50" t="str">
        <f t="shared" si="28"/>
        <v/>
      </c>
      <c r="T50" t="str">
        <f t="shared" si="29"/>
        <v/>
      </c>
      <c r="U50" t="str">
        <f>IF(L50="","",L50*DATA!B4)</f>
        <v/>
      </c>
      <c r="V50" t="str">
        <f>IF(M50="","",M50*DATA!C4)</f>
        <v/>
      </c>
      <c r="W50" t="str">
        <f>IF(N50="","",N50*DATA!D4)</f>
        <v/>
      </c>
      <c r="X50" t="str">
        <f>IF(O50="","",O50*DATA!E4)</f>
        <v/>
      </c>
      <c r="Y50" t="str">
        <f>IF(P50="","",P50*DATA!F4)</f>
        <v/>
      </c>
      <c r="Z50" t="str">
        <f>IF(Q50="","",Q50*DATA!G4)</f>
        <v/>
      </c>
      <c r="AA50" t="str">
        <f>IF(R50="","",R50*DATA!H4)</f>
        <v/>
      </c>
      <c r="AB50" t="str">
        <f>IF(S50="","",S50*DATA!I4)</f>
        <v/>
      </c>
      <c r="AC50" t="str">
        <f>IF(T50="","",T50*DATA!J4)</f>
        <v/>
      </c>
      <c r="AD50" t="str">
        <f>IF(U50="","",SQRT(SUMPRODUCT((U50:AC50-#REF!)^2)))</f>
        <v/>
      </c>
      <c r="AE50" t="str">
        <f>IF(U50="","",SQRT(SUMPRODUCT((U50:AC50-U114:AC114)^2)))</f>
        <v/>
      </c>
      <c r="AF50" t="str">
        <f t="shared" si="20"/>
        <v/>
      </c>
    </row>
    <row r="51" spans="1:32" hidden="1" outlineLevel="1">
      <c r="A51" t="str">
        <f>IF(DATA!A53="","",DATA!A53)</f>
        <v/>
      </c>
      <c r="B51" t="str">
        <f>IF(DATA!B53="","",DATA!B53)</f>
        <v/>
      </c>
      <c r="C51" t="str">
        <f>IF(DATA!C53="","",DATA!C53)</f>
        <v/>
      </c>
      <c r="D51" t="str">
        <f>IF(DATA!D53="","",DATA!D53)</f>
        <v/>
      </c>
      <c r="E51" t="str">
        <f>IF(DATA!E53="","",DATA!E53)</f>
        <v/>
      </c>
      <c r="F51" t="str">
        <f>IF(DATA!F53="","",DATA!F53)</f>
        <v/>
      </c>
      <c r="G51" t="str">
        <f>IF(DATA!G53="","",DATA!G53)</f>
        <v/>
      </c>
      <c r="H51" t="str">
        <f>IF(DATA!H53="","",DATA!H53)</f>
        <v/>
      </c>
      <c r="I51" t="str">
        <f>IF(DATA!I53="","",DATA!I53)</f>
        <v/>
      </c>
      <c r="J51" t="str">
        <f>IF(DATA!J53="","",DATA!J53)</f>
        <v/>
      </c>
      <c r="L51" t="str">
        <f t="shared" si="21"/>
        <v/>
      </c>
      <c r="M51" t="str">
        <f t="shared" si="22"/>
        <v/>
      </c>
      <c r="N51" t="str">
        <f t="shared" si="23"/>
        <v/>
      </c>
      <c r="O51" t="str">
        <f t="shared" si="24"/>
        <v/>
      </c>
      <c r="P51" t="str">
        <f t="shared" si="25"/>
        <v/>
      </c>
      <c r="Q51" t="str">
        <f t="shared" si="26"/>
        <v/>
      </c>
      <c r="R51" t="str">
        <f t="shared" si="27"/>
        <v/>
      </c>
      <c r="S51" t="str">
        <f t="shared" si="28"/>
        <v/>
      </c>
      <c r="T51" t="str">
        <f t="shared" si="29"/>
        <v/>
      </c>
      <c r="U51" t="str">
        <f>IF(L51="","",L51*DATA!B4)</f>
        <v/>
      </c>
      <c r="V51" t="str">
        <f>IF(M51="","",M51*DATA!C4)</f>
        <v/>
      </c>
      <c r="W51" t="str">
        <f>IF(N51="","",N51*DATA!D4)</f>
        <v/>
      </c>
      <c r="X51" t="str">
        <f>IF(O51="","",O51*DATA!E4)</f>
        <v/>
      </c>
      <c r="Y51" t="str">
        <f>IF(P51="","",P51*DATA!F4)</f>
        <v/>
      </c>
      <c r="Z51" t="str">
        <f>IF(Q51="","",Q51*DATA!G4)</f>
        <v/>
      </c>
      <c r="AA51" t="str">
        <f>IF(R51="","",R51*DATA!H4)</f>
        <v/>
      </c>
      <c r="AB51" t="str">
        <f>IF(S51="","",S51*DATA!I4)</f>
        <v/>
      </c>
      <c r="AC51" t="str">
        <f>IF(T51="","",T51*DATA!J4)</f>
        <v/>
      </c>
      <c r="AD51" t="str">
        <f>IF(U51="","",SQRT(SUMPRODUCT((U51:AC51-#REF!)^2)))</f>
        <v/>
      </c>
      <c r="AE51" t="str">
        <f>IF(U51="","",SQRT(SUMPRODUCT((U51:AC51-U114:AC114)^2)))</f>
        <v/>
      </c>
      <c r="AF51" t="str">
        <f t="shared" si="20"/>
        <v/>
      </c>
    </row>
    <row r="52" spans="1:32" hidden="1" outlineLevel="1">
      <c r="A52" t="str">
        <f>IF(DATA!A54="","",DATA!A54)</f>
        <v/>
      </c>
      <c r="B52" t="str">
        <f>IF(DATA!B54="","",DATA!B54)</f>
        <v/>
      </c>
      <c r="C52" t="str">
        <f>IF(DATA!C54="","",DATA!C54)</f>
        <v/>
      </c>
      <c r="D52" t="str">
        <f>IF(DATA!D54="","",DATA!D54)</f>
        <v/>
      </c>
      <c r="E52" t="str">
        <f>IF(DATA!E54="","",DATA!E54)</f>
        <v/>
      </c>
      <c r="F52" t="str">
        <f>IF(DATA!F54="","",DATA!F54)</f>
        <v/>
      </c>
      <c r="G52" t="str">
        <f>IF(DATA!G54="","",DATA!G54)</f>
        <v/>
      </c>
      <c r="H52" t="str">
        <f>IF(DATA!H54="","",DATA!H54)</f>
        <v/>
      </c>
      <c r="I52" t="str">
        <f>IF(DATA!I54="","",DATA!I54)</f>
        <v/>
      </c>
      <c r="J52" t="str">
        <f>IF(DATA!J54="","",DATA!J54)</f>
        <v/>
      </c>
      <c r="L52" t="str">
        <f t="shared" si="21"/>
        <v/>
      </c>
      <c r="M52" t="str">
        <f t="shared" si="22"/>
        <v/>
      </c>
      <c r="N52" t="str">
        <f t="shared" si="23"/>
        <v/>
      </c>
      <c r="O52" t="str">
        <f t="shared" si="24"/>
        <v/>
      </c>
      <c r="P52" t="str">
        <f t="shared" si="25"/>
        <v/>
      </c>
      <c r="Q52" t="str">
        <f t="shared" si="26"/>
        <v/>
      </c>
      <c r="R52" t="str">
        <f t="shared" si="27"/>
        <v/>
      </c>
      <c r="S52" t="str">
        <f t="shared" si="28"/>
        <v/>
      </c>
      <c r="T52" t="str">
        <f t="shared" si="29"/>
        <v/>
      </c>
      <c r="U52" t="str">
        <f>IF(L52="","",L52*DATA!B4)</f>
        <v/>
      </c>
      <c r="V52" t="str">
        <f>IF(M52="","",M52*DATA!C4)</f>
        <v/>
      </c>
      <c r="W52" t="str">
        <f>IF(N52="","",N52*DATA!D4)</f>
        <v/>
      </c>
      <c r="X52" t="str">
        <f>IF(O52="","",O52*DATA!E4)</f>
        <v/>
      </c>
      <c r="Y52" t="str">
        <f>IF(P52="","",P52*DATA!F4)</f>
        <v/>
      </c>
      <c r="Z52" t="str">
        <f>IF(Q52="","",Q52*DATA!G4)</f>
        <v/>
      </c>
      <c r="AA52" t="str">
        <f>IF(R52="","",R52*DATA!H4)</f>
        <v/>
      </c>
      <c r="AB52" t="str">
        <f>IF(S52="","",S52*DATA!I4)</f>
        <v/>
      </c>
      <c r="AC52" t="str">
        <f>IF(T52="","",T52*DATA!J4)</f>
        <v/>
      </c>
      <c r="AD52" t="str">
        <f>IF(U52="","",SQRT(SUMPRODUCT((U52:AC52-#REF!)^2)))</f>
        <v/>
      </c>
      <c r="AE52" t="str">
        <f>IF(U52="","",SQRT(SUMPRODUCT((U52:AC52-U114:AC114)^2)))</f>
        <v/>
      </c>
      <c r="AF52" t="str">
        <f t="shared" si="20"/>
        <v/>
      </c>
    </row>
    <row r="53" spans="1:32" hidden="1" outlineLevel="1">
      <c r="A53" t="str">
        <f>IF(DATA!A55="","",DATA!A55)</f>
        <v/>
      </c>
      <c r="B53" t="str">
        <f>IF(DATA!B55="","",DATA!B55)</f>
        <v/>
      </c>
      <c r="C53" t="str">
        <f>IF(DATA!C55="","",DATA!C55)</f>
        <v/>
      </c>
      <c r="D53" t="str">
        <f>IF(DATA!D55="","",DATA!D55)</f>
        <v/>
      </c>
      <c r="E53" t="str">
        <f>IF(DATA!E55="","",DATA!E55)</f>
        <v/>
      </c>
      <c r="F53" t="str">
        <f>IF(DATA!F55="","",DATA!F55)</f>
        <v/>
      </c>
      <c r="G53" t="str">
        <f>IF(DATA!G55="","",DATA!G55)</f>
        <v/>
      </c>
      <c r="H53" t="str">
        <f>IF(DATA!H55="","",DATA!H55)</f>
        <v/>
      </c>
      <c r="I53" t="str">
        <f>IF(DATA!I55="","",DATA!I55)</f>
        <v/>
      </c>
      <c r="J53" t="str">
        <f>IF(DATA!J55="","",DATA!J55)</f>
        <v/>
      </c>
      <c r="L53" t="str">
        <f t="shared" si="21"/>
        <v/>
      </c>
      <c r="M53" t="str">
        <f t="shared" si="22"/>
        <v/>
      </c>
      <c r="N53" t="str">
        <f t="shared" si="23"/>
        <v/>
      </c>
      <c r="O53" t="str">
        <f t="shared" si="24"/>
        <v/>
      </c>
      <c r="P53" t="str">
        <f t="shared" si="25"/>
        <v/>
      </c>
      <c r="Q53" t="str">
        <f t="shared" si="26"/>
        <v/>
      </c>
      <c r="R53" t="str">
        <f t="shared" si="27"/>
        <v/>
      </c>
      <c r="S53" t="str">
        <f t="shared" si="28"/>
        <v/>
      </c>
      <c r="T53" t="str">
        <f t="shared" si="29"/>
        <v/>
      </c>
      <c r="U53" t="str">
        <f>IF(L53="","",L53*DATA!B4)</f>
        <v/>
      </c>
      <c r="V53" t="str">
        <f>IF(M53="","",M53*DATA!C4)</f>
        <v/>
      </c>
      <c r="W53" t="str">
        <f>IF(N53="","",N53*DATA!D4)</f>
        <v/>
      </c>
      <c r="X53" t="str">
        <f>IF(O53="","",O53*DATA!E4)</f>
        <v/>
      </c>
      <c r="Y53" t="str">
        <f>IF(P53="","",P53*DATA!F4)</f>
        <v/>
      </c>
      <c r="Z53" t="str">
        <f>IF(Q53="","",Q53*DATA!G4)</f>
        <v/>
      </c>
      <c r="AA53" t="str">
        <f>IF(R53="","",R53*DATA!H4)</f>
        <v/>
      </c>
      <c r="AB53" t="str">
        <f>IF(S53="","",S53*DATA!I4)</f>
        <v/>
      </c>
      <c r="AC53" t="str">
        <f>IF(T53="","",T53*DATA!J4)</f>
        <v/>
      </c>
      <c r="AD53" t="str">
        <f>IF(U53="","",SQRT(SUMPRODUCT((U53:AC53-#REF!)^2)))</f>
        <v/>
      </c>
      <c r="AE53" t="str">
        <f>IF(U53="","",SQRT(SUMPRODUCT((U53:AC53-U114:AC114)^2)))</f>
        <v/>
      </c>
      <c r="AF53" t="str">
        <f t="shared" si="20"/>
        <v/>
      </c>
    </row>
    <row r="54" spans="1:32" hidden="1" outlineLevel="1">
      <c r="A54" t="str">
        <f>IF(DATA!A56="","",DATA!A56)</f>
        <v/>
      </c>
      <c r="B54" t="str">
        <f>IF(DATA!B56="","",DATA!B56)</f>
        <v/>
      </c>
      <c r="C54" t="str">
        <f>IF(DATA!C56="","",DATA!C56)</f>
        <v/>
      </c>
      <c r="D54" t="str">
        <f>IF(DATA!D56="","",DATA!D56)</f>
        <v/>
      </c>
      <c r="E54" t="str">
        <f>IF(DATA!E56="","",DATA!E56)</f>
        <v/>
      </c>
      <c r="F54" t="str">
        <f>IF(DATA!F56="","",DATA!F56)</f>
        <v/>
      </c>
      <c r="G54" t="str">
        <f>IF(DATA!G56="","",DATA!G56)</f>
        <v/>
      </c>
      <c r="H54" t="str">
        <f>IF(DATA!H56="","",DATA!H56)</f>
        <v/>
      </c>
      <c r="I54" t="str">
        <f>IF(DATA!I56="","",DATA!I56)</f>
        <v/>
      </c>
      <c r="J54" t="str">
        <f>IF(DATA!J56="","",DATA!J56)</f>
        <v/>
      </c>
      <c r="L54" t="str">
        <f t="shared" si="21"/>
        <v/>
      </c>
      <c r="M54" t="str">
        <f t="shared" si="22"/>
        <v/>
      </c>
      <c r="N54" t="str">
        <f t="shared" si="23"/>
        <v/>
      </c>
      <c r="O54" t="str">
        <f t="shared" si="24"/>
        <v/>
      </c>
      <c r="P54" t="str">
        <f t="shared" si="25"/>
        <v/>
      </c>
      <c r="Q54" t="str">
        <f t="shared" si="26"/>
        <v/>
      </c>
      <c r="R54" t="str">
        <f t="shared" si="27"/>
        <v/>
      </c>
      <c r="S54" t="str">
        <f t="shared" si="28"/>
        <v/>
      </c>
      <c r="T54" t="str">
        <f t="shared" si="29"/>
        <v/>
      </c>
      <c r="U54" t="str">
        <f>IF(L54="","",L54*DATA!B4)</f>
        <v/>
      </c>
      <c r="V54" t="str">
        <f>IF(M54="","",M54*DATA!C4)</f>
        <v/>
      </c>
      <c r="W54" t="str">
        <f>IF(N54="","",N54*DATA!D4)</f>
        <v/>
      </c>
      <c r="X54" t="str">
        <f>IF(O54="","",O54*DATA!E4)</f>
        <v/>
      </c>
      <c r="Y54" t="str">
        <f>IF(P54="","",P54*DATA!F4)</f>
        <v/>
      </c>
      <c r="Z54" t="str">
        <f>IF(Q54="","",Q54*DATA!G4)</f>
        <v/>
      </c>
      <c r="AA54" t="str">
        <f>IF(R54="","",R54*DATA!H4)</f>
        <v/>
      </c>
      <c r="AB54" t="str">
        <f>IF(S54="","",S54*DATA!I4)</f>
        <v/>
      </c>
      <c r="AC54" t="str">
        <f>IF(T54="","",T54*DATA!J4)</f>
        <v/>
      </c>
      <c r="AD54" t="str">
        <f>IF(U54="","",SQRT(SUMPRODUCT((U54:AC54-#REF!)^2)))</f>
        <v/>
      </c>
      <c r="AE54" t="str">
        <f>IF(U54="","",SQRT(SUMPRODUCT((U54:AC54-U114:AC114)^2)))</f>
        <v/>
      </c>
      <c r="AF54" t="str">
        <f t="shared" si="20"/>
        <v/>
      </c>
    </row>
    <row r="55" spans="1:32" hidden="1" outlineLevel="1">
      <c r="A55" t="str">
        <f>IF(DATA!A57="","",DATA!A57)</f>
        <v/>
      </c>
      <c r="B55" t="str">
        <f>IF(DATA!B57="","",DATA!B57)</f>
        <v/>
      </c>
      <c r="C55" t="str">
        <f>IF(DATA!C57="","",DATA!C57)</f>
        <v/>
      </c>
      <c r="D55" t="str">
        <f>IF(DATA!D57="","",DATA!D57)</f>
        <v/>
      </c>
      <c r="E55" t="str">
        <f>IF(DATA!E57="","",DATA!E57)</f>
        <v/>
      </c>
      <c r="F55" t="str">
        <f>IF(DATA!F57="","",DATA!F57)</f>
        <v/>
      </c>
      <c r="G55" t="str">
        <f>IF(DATA!G57="","",DATA!G57)</f>
        <v/>
      </c>
      <c r="H55" t="str">
        <f>IF(DATA!H57="","",DATA!H57)</f>
        <v/>
      </c>
      <c r="I55" t="str">
        <f>IF(DATA!I57="","",DATA!I57)</f>
        <v/>
      </c>
      <c r="J55" t="str">
        <f>IF(DATA!J57="","",DATA!J57)</f>
        <v/>
      </c>
      <c r="L55" t="str">
        <f t="shared" si="21"/>
        <v/>
      </c>
      <c r="M55" t="str">
        <f t="shared" si="22"/>
        <v/>
      </c>
      <c r="N55" t="str">
        <f t="shared" si="23"/>
        <v/>
      </c>
      <c r="O55" t="str">
        <f t="shared" si="24"/>
        <v/>
      </c>
      <c r="P55" t="str">
        <f t="shared" si="25"/>
        <v/>
      </c>
      <c r="Q55" t="str">
        <f t="shared" si="26"/>
        <v/>
      </c>
      <c r="R55" t="str">
        <f t="shared" si="27"/>
        <v/>
      </c>
      <c r="S55" t="str">
        <f t="shared" si="28"/>
        <v/>
      </c>
      <c r="T55" t="str">
        <f t="shared" si="29"/>
        <v/>
      </c>
      <c r="U55" t="str">
        <f>IF(L55="","",L55*DATA!B4)</f>
        <v/>
      </c>
      <c r="V55" t="str">
        <f>IF(M55="","",M55*DATA!C4)</f>
        <v/>
      </c>
      <c r="W55" t="str">
        <f>IF(N55="","",N55*DATA!D4)</f>
        <v/>
      </c>
      <c r="X55" t="str">
        <f>IF(O55="","",O55*DATA!E4)</f>
        <v/>
      </c>
      <c r="Y55" t="str">
        <f>IF(P55="","",P55*DATA!F4)</f>
        <v/>
      </c>
      <c r="Z55" t="str">
        <f>IF(Q55="","",Q55*DATA!G4)</f>
        <v/>
      </c>
      <c r="AA55" t="str">
        <f>IF(R55="","",R55*DATA!H4)</f>
        <v/>
      </c>
      <c r="AB55" t="str">
        <f>IF(S55="","",S55*DATA!I4)</f>
        <v/>
      </c>
      <c r="AC55" t="str">
        <f>IF(T55="","",T55*DATA!J4)</f>
        <v/>
      </c>
      <c r="AD55" t="str">
        <f>IF(U55="","",SQRT(SUMPRODUCT((U55:AC55-#REF!)^2)))</f>
        <v/>
      </c>
      <c r="AE55" t="str">
        <f>IF(U55="","",SQRT(SUMPRODUCT((U55:AC55-U114:AC114)^2)))</f>
        <v/>
      </c>
      <c r="AF55" t="str">
        <f t="shared" si="20"/>
        <v/>
      </c>
    </row>
    <row r="56" spans="1:32" hidden="1" outlineLevel="1">
      <c r="A56" t="str">
        <f>IF(DATA!A58="","",DATA!A58)</f>
        <v/>
      </c>
      <c r="B56" t="str">
        <f>IF(DATA!B58="","",DATA!B58)</f>
        <v/>
      </c>
      <c r="C56" t="str">
        <f>IF(DATA!C58="","",DATA!C58)</f>
        <v/>
      </c>
      <c r="D56" t="str">
        <f>IF(DATA!D58="","",DATA!D58)</f>
        <v/>
      </c>
      <c r="E56" t="str">
        <f>IF(DATA!E58="","",DATA!E58)</f>
        <v/>
      </c>
      <c r="F56" t="str">
        <f>IF(DATA!F58="","",DATA!F58)</f>
        <v/>
      </c>
      <c r="G56" t="str">
        <f>IF(DATA!G58="","",DATA!G58)</f>
        <v/>
      </c>
      <c r="H56" t="str">
        <f>IF(DATA!H58="","",DATA!H58)</f>
        <v/>
      </c>
      <c r="I56" t="str">
        <f>IF(DATA!I58="","",DATA!I58)</f>
        <v/>
      </c>
      <c r="J56" t="str">
        <f>IF(DATA!J58="","",DATA!J58)</f>
        <v/>
      </c>
      <c r="L56" t="str">
        <f t="shared" si="21"/>
        <v/>
      </c>
      <c r="M56" t="str">
        <f t="shared" si="22"/>
        <v/>
      </c>
      <c r="N56" t="str">
        <f t="shared" si="23"/>
        <v/>
      </c>
      <c r="O56" t="str">
        <f t="shared" si="24"/>
        <v/>
      </c>
      <c r="P56" t="str">
        <f t="shared" si="25"/>
        <v/>
      </c>
      <c r="Q56" t="str">
        <f t="shared" si="26"/>
        <v/>
      </c>
      <c r="R56" t="str">
        <f t="shared" si="27"/>
        <v/>
      </c>
      <c r="S56" t="str">
        <f t="shared" si="28"/>
        <v/>
      </c>
      <c r="T56" t="str">
        <f t="shared" si="29"/>
        <v/>
      </c>
      <c r="U56" t="str">
        <f>IF(L56="","",L56*DATA!B4)</f>
        <v/>
      </c>
      <c r="V56" t="str">
        <f>IF(M56="","",M56*DATA!C4)</f>
        <v/>
      </c>
      <c r="W56" t="str">
        <f>IF(N56="","",N56*DATA!D4)</f>
        <v/>
      </c>
      <c r="X56" t="str">
        <f>IF(O56="","",O56*DATA!E4)</f>
        <v/>
      </c>
      <c r="Y56" t="str">
        <f>IF(P56="","",P56*DATA!F4)</f>
        <v/>
      </c>
      <c r="Z56" t="str">
        <f>IF(Q56="","",Q56*DATA!G4)</f>
        <v/>
      </c>
      <c r="AA56" t="str">
        <f>IF(R56="","",R56*DATA!H4)</f>
        <v/>
      </c>
      <c r="AB56" t="str">
        <f>IF(S56="","",S56*DATA!I4)</f>
        <v/>
      </c>
      <c r="AC56" t="str">
        <f>IF(T56="","",T56*DATA!J4)</f>
        <v/>
      </c>
      <c r="AD56" t="str">
        <f>IF(U56="","",SQRT(SUMPRODUCT((U56:AC56-#REF!)^2)))</f>
        <v/>
      </c>
      <c r="AE56" t="str">
        <f>IF(U56="","",SQRT(SUMPRODUCT((U56:AC56-U114:AC114)^2)))</f>
        <v/>
      </c>
      <c r="AF56" t="str">
        <f t="shared" si="20"/>
        <v/>
      </c>
    </row>
    <row r="57" spans="1:32" hidden="1" outlineLevel="1">
      <c r="A57" t="str">
        <f>IF(DATA!A59="","",DATA!A59)</f>
        <v/>
      </c>
      <c r="B57" t="str">
        <f>IF(DATA!B59="","",DATA!B59)</f>
        <v/>
      </c>
      <c r="C57" t="str">
        <f>IF(DATA!C59="","",DATA!C59)</f>
        <v/>
      </c>
      <c r="D57" t="str">
        <f>IF(DATA!D59="","",DATA!D59)</f>
        <v/>
      </c>
      <c r="E57" t="str">
        <f>IF(DATA!E59="","",DATA!E59)</f>
        <v/>
      </c>
      <c r="F57" t="str">
        <f>IF(DATA!F59="","",DATA!F59)</f>
        <v/>
      </c>
      <c r="G57" t="str">
        <f>IF(DATA!G59="","",DATA!G59)</f>
        <v/>
      </c>
      <c r="H57" t="str">
        <f>IF(DATA!H59="","",DATA!H59)</f>
        <v/>
      </c>
      <c r="I57" t="str">
        <f>IF(DATA!I59="","",DATA!I59)</f>
        <v/>
      </c>
      <c r="J57" t="str">
        <f>IF(DATA!J59="","",DATA!J59)</f>
        <v/>
      </c>
      <c r="L57" t="str">
        <f t="shared" si="21"/>
        <v/>
      </c>
      <c r="M57" t="str">
        <f t="shared" si="22"/>
        <v/>
      </c>
      <c r="N57" t="str">
        <f t="shared" si="23"/>
        <v/>
      </c>
      <c r="O57" t="str">
        <f t="shared" si="24"/>
        <v/>
      </c>
      <c r="P57" t="str">
        <f t="shared" si="25"/>
        <v/>
      </c>
      <c r="Q57" t="str">
        <f t="shared" si="26"/>
        <v/>
      </c>
      <c r="R57" t="str">
        <f t="shared" si="27"/>
        <v/>
      </c>
      <c r="S57" t="str">
        <f t="shared" si="28"/>
        <v/>
      </c>
      <c r="T57" t="str">
        <f t="shared" si="29"/>
        <v/>
      </c>
      <c r="U57" t="str">
        <f>IF(L57="","",L57*DATA!B4)</f>
        <v/>
      </c>
      <c r="V57" t="str">
        <f>IF(M57="","",M57*DATA!C4)</f>
        <v/>
      </c>
      <c r="W57" t="str">
        <f>IF(N57="","",N57*DATA!D4)</f>
        <v/>
      </c>
      <c r="X57" t="str">
        <f>IF(O57="","",O57*DATA!E4)</f>
        <v/>
      </c>
      <c r="Y57" t="str">
        <f>IF(P57="","",P57*DATA!F4)</f>
        <v/>
      </c>
      <c r="Z57" t="str">
        <f>IF(Q57="","",Q57*DATA!G4)</f>
        <v/>
      </c>
      <c r="AA57" t="str">
        <f>IF(R57="","",R57*DATA!H4)</f>
        <v/>
      </c>
      <c r="AB57" t="str">
        <f>IF(S57="","",S57*DATA!I4)</f>
        <v/>
      </c>
      <c r="AC57" t="str">
        <f>IF(T57="","",T57*DATA!J4)</f>
        <v/>
      </c>
      <c r="AD57" t="str">
        <f>IF(U57="","",SQRT(SUMPRODUCT((U57:AC57-#REF!)^2)))</f>
        <v/>
      </c>
      <c r="AE57" t="str">
        <f>IF(U57="","",SQRT(SUMPRODUCT((U57:AC57-U114:AC114)^2)))</f>
        <v/>
      </c>
      <c r="AF57" t="str">
        <f t="shared" si="20"/>
        <v/>
      </c>
    </row>
    <row r="58" spans="1:32" hidden="1" outlineLevel="1">
      <c r="A58" t="str">
        <f>IF(DATA!A60="","",DATA!A60)</f>
        <v/>
      </c>
      <c r="B58" t="str">
        <f>IF(DATA!B60="","",DATA!B60)</f>
        <v/>
      </c>
      <c r="C58" t="str">
        <f>IF(DATA!C60="","",DATA!C60)</f>
        <v/>
      </c>
      <c r="D58" t="str">
        <f>IF(DATA!D60="","",DATA!D60)</f>
        <v/>
      </c>
      <c r="E58" t="str">
        <f>IF(DATA!E60="","",DATA!E60)</f>
        <v/>
      </c>
      <c r="F58" t="str">
        <f>IF(DATA!F60="","",DATA!F60)</f>
        <v/>
      </c>
      <c r="G58" t="str">
        <f>IF(DATA!G60="","",DATA!G60)</f>
        <v/>
      </c>
      <c r="H58" t="str">
        <f>IF(DATA!H60="","",DATA!H60)</f>
        <v/>
      </c>
      <c r="I58" t="str">
        <f>IF(DATA!I60="","",DATA!I60)</f>
        <v/>
      </c>
      <c r="J58" t="str">
        <f>IF(DATA!J60="","",DATA!J60)</f>
        <v/>
      </c>
      <c r="L58" t="str">
        <f t="shared" si="21"/>
        <v/>
      </c>
      <c r="M58" t="str">
        <f t="shared" si="22"/>
        <v/>
      </c>
      <c r="N58" t="str">
        <f t="shared" si="23"/>
        <v/>
      </c>
      <c r="O58" t="str">
        <f t="shared" si="24"/>
        <v/>
      </c>
      <c r="P58" t="str">
        <f t="shared" si="25"/>
        <v/>
      </c>
      <c r="Q58" t="str">
        <f t="shared" si="26"/>
        <v/>
      </c>
      <c r="R58" t="str">
        <f t="shared" si="27"/>
        <v/>
      </c>
      <c r="S58" t="str">
        <f t="shared" si="28"/>
        <v/>
      </c>
      <c r="T58" t="str">
        <f t="shared" si="29"/>
        <v/>
      </c>
      <c r="U58" t="str">
        <f>IF(L58="","",L58*DATA!B4)</f>
        <v/>
      </c>
      <c r="V58" t="str">
        <f>IF(M58="","",M58*DATA!C4)</f>
        <v/>
      </c>
      <c r="W58" t="str">
        <f>IF(N58="","",N58*DATA!D4)</f>
        <v/>
      </c>
      <c r="X58" t="str">
        <f>IF(O58="","",O58*DATA!E4)</f>
        <v/>
      </c>
      <c r="Y58" t="str">
        <f>IF(P58="","",P58*DATA!F4)</f>
        <v/>
      </c>
      <c r="Z58" t="str">
        <f>IF(Q58="","",Q58*DATA!G4)</f>
        <v/>
      </c>
      <c r="AA58" t="str">
        <f>IF(R58="","",R58*DATA!H4)</f>
        <v/>
      </c>
      <c r="AB58" t="str">
        <f>IF(S58="","",S58*DATA!I4)</f>
        <v/>
      </c>
      <c r="AC58" t="str">
        <f>IF(T58="","",T58*DATA!J4)</f>
        <v/>
      </c>
      <c r="AD58" t="str">
        <f>IF(U58="","",SQRT(SUMPRODUCT((U58:AC58-#REF!)^2)))</f>
        <v/>
      </c>
      <c r="AE58" t="str">
        <f>IF(U58="","",SQRT(SUMPRODUCT((U58:AC58-U114:AC114)^2)))</f>
        <v/>
      </c>
      <c r="AF58" t="str">
        <f t="shared" si="20"/>
        <v/>
      </c>
    </row>
    <row r="59" spans="1:32" hidden="1" outlineLevel="1">
      <c r="A59" t="str">
        <f>IF(DATA!A61="","",DATA!A61)</f>
        <v/>
      </c>
      <c r="B59" t="str">
        <f>IF(DATA!B61="","",DATA!B61)</f>
        <v/>
      </c>
      <c r="C59" t="str">
        <f>IF(DATA!C61="","",DATA!C61)</f>
        <v/>
      </c>
      <c r="D59" t="str">
        <f>IF(DATA!D61="","",DATA!D61)</f>
        <v/>
      </c>
      <c r="E59" t="str">
        <f>IF(DATA!E61="","",DATA!E61)</f>
        <v/>
      </c>
      <c r="F59" t="str">
        <f>IF(DATA!F61="","",DATA!F61)</f>
        <v/>
      </c>
      <c r="G59" t="str">
        <f>IF(DATA!G61="","",DATA!G61)</f>
        <v/>
      </c>
      <c r="H59" t="str">
        <f>IF(DATA!H61="","",DATA!H61)</f>
        <v/>
      </c>
      <c r="I59" t="str">
        <f>IF(DATA!I61="","",DATA!I61)</f>
        <v/>
      </c>
      <c r="J59" t="str">
        <f>IF(DATA!J61="","",DATA!J61)</f>
        <v/>
      </c>
      <c r="L59" t="str">
        <f t="shared" si="21"/>
        <v/>
      </c>
      <c r="M59" t="str">
        <f t="shared" si="22"/>
        <v/>
      </c>
      <c r="N59" t="str">
        <f t="shared" si="23"/>
        <v/>
      </c>
      <c r="O59" t="str">
        <f t="shared" si="24"/>
        <v/>
      </c>
      <c r="P59" t="str">
        <f t="shared" si="25"/>
        <v/>
      </c>
      <c r="Q59" t="str">
        <f t="shared" si="26"/>
        <v/>
      </c>
      <c r="R59" t="str">
        <f t="shared" si="27"/>
        <v/>
      </c>
      <c r="S59" t="str">
        <f t="shared" si="28"/>
        <v/>
      </c>
      <c r="T59" t="str">
        <f t="shared" si="29"/>
        <v/>
      </c>
      <c r="U59" t="str">
        <f>IF(L59="","",L59*DATA!B4)</f>
        <v/>
      </c>
      <c r="V59" t="str">
        <f>IF(M59="","",M59*DATA!C4)</f>
        <v/>
      </c>
      <c r="W59" t="str">
        <f>IF(N59="","",N59*DATA!D4)</f>
        <v/>
      </c>
      <c r="X59" t="str">
        <f>IF(O59="","",O59*DATA!E4)</f>
        <v/>
      </c>
      <c r="Y59" t="str">
        <f>IF(P59="","",P59*DATA!F4)</f>
        <v/>
      </c>
      <c r="Z59" t="str">
        <f>IF(Q59="","",Q59*DATA!G4)</f>
        <v/>
      </c>
      <c r="AA59" t="str">
        <f>IF(R59="","",R59*DATA!H4)</f>
        <v/>
      </c>
      <c r="AB59" t="str">
        <f>IF(S59="","",S59*DATA!I4)</f>
        <v/>
      </c>
      <c r="AC59" t="str">
        <f>IF(T59="","",T59*DATA!J4)</f>
        <v/>
      </c>
      <c r="AD59" t="str">
        <f>IF(U59="","",SQRT(SUMPRODUCT((U59:AC59-#REF!)^2)))</f>
        <v/>
      </c>
      <c r="AE59" t="str">
        <f>IF(U59="","",SQRT(SUMPRODUCT((U59:AC59-U114:AC114)^2)))</f>
        <v/>
      </c>
      <c r="AF59" t="str">
        <f t="shared" si="20"/>
        <v/>
      </c>
    </row>
    <row r="60" spans="1:32" hidden="1" outlineLevel="1">
      <c r="A60" t="str">
        <f>IF(DATA!A62="","",DATA!A62)</f>
        <v/>
      </c>
      <c r="B60" t="str">
        <f>IF(DATA!B62="","",DATA!B62)</f>
        <v/>
      </c>
      <c r="C60" t="str">
        <f>IF(DATA!C62="","",DATA!C62)</f>
        <v/>
      </c>
      <c r="D60" t="str">
        <f>IF(DATA!D62="","",DATA!D62)</f>
        <v/>
      </c>
      <c r="E60" t="str">
        <f>IF(DATA!E62="","",DATA!E62)</f>
        <v/>
      </c>
      <c r="F60" t="str">
        <f>IF(DATA!F62="","",DATA!F62)</f>
        <v/>
      </c>
      <c r="G60" t="str">
        <f>IF(DATA!G62="","",DATA!G62)</f>
        <v/>
      </c>
      <c r="H60" t="str">
        <f>IF(DATA!H62="","",DATA!H62)</f>
        <v/>
      </c>
      <c r="I60" t="str">
        <f>IF(DATA!I62="","",DATA!I62)</f>
        <v/>
      </c>
      <c r="J60" t="str">
        <f>IF(DATA!J62="","",DATA!J62)</f>
        <v/>
      </c>
      <c r="L60" t="str">
        <f t="shared" si="21"/>
        <v/>
      </c>
      <c r="M60" t="str">
        <f t="shared" si="22"/>
        <v/>
      </c>
      <c r="N60" t="str">
        <f t="shared" si="23"/>
        <v/>
      </c>
      <c r="O60" t="str">
        <f t="shared" si="24"/>
        <v/>
      </c>
      <c r="P60" t="str">
        <f t="shared" si="25"/>
        <v/>
      </c>
      <c r="Q60" t="str">
        <f t="shared" si="26"/>
        <v/>
      </c>
      <c r="R60" t="str">
        <f t="shared" si="27"/>
        <v/>
      </c>
      <c r="S60" t="str">
        <f t="shared" si="28"/>
        <v/>
      </c>
      <c r="T60" t="str">
        <f t="shared" si="29"/>
        <v/>
      </c>
      <c r="U60" t="str">
        <f>IF(L60="","",L60*DATA!B4)</f>
        <v/>
      </c>
      <c r="V60" t="str">
        <f>IF(M60="","",M60*DATA!C4)</f>
        <v/>
      </c>
      <c r="W60" t="str">
        <f>IF(N60="","",N60*DATA!D4)</f>
        <v/>
      </c>
      <c r="X60" t="str">
        <f>IF(O60="","",O60*DATA!E4)</f>
        <v/>
      </c>
      <c r="Y60" t="str">
        <f>IF(P60="","",P60*DATA!F4)</f>
        <v/>
      </c>
      <c r="Z60" t="str">
        <f>IF(Q60="","",Q60*DATA!G4)</f>
        <v/>
      </c>
      <c r="AA60" t="str">
        <f>IF(R60="","",R60*DATA!H4)</f>
        <v/>
      </c>
      <c r="AB60" t="str">
        <f>IF(S60="","",S60*DATA!I4)</f>
        <v/>
      </c>
      <c r="AC60" t="str">
        <f>IF(T60="","",T60*DATA!J4)</f>
        <v/>
      </c>
      <c r="AD60" t="str">
        <f>IF(U60="","",SQRT(SUMPRODUCT((U60:AC60-#REF!)^2)))</f>
        <v/>
      </c>
      <c r="AE60" t="str">
        <f>IF(U60="","",SQRT(SUMPRODUCT((U60:AC60-U114:AC114)^2)))</f>
        <v/>
      </c>
      <c r="AF60" t="str">
        <f t="shared" si="20"/>
        <v/>
      </c>
    </row>
    <row r="61" spans="1:32" hidden="1" outlineLevel="1">
      <c r="A61" t="str">
        <f>IF(DATA!A63="","",DATA!A63)</f>
        <v/>
      </c>
      <c r="B61" t="str">
        <f>IF(DATA!B63="","",DATA!B63)</f>
        <v/>
      </c>
      <c r="C61" t="str">
        <f>IF(DATA!C63="","",DATA!C63)</f>
        <v/>
      </c>
      <c r="D61" t="str">
        <f>IF(DATA!D63="","",DATA!D63)</f>
        <v/>
      </c>
      <c r="E61" t="str">
        <f>IF(DATA!E63="","",DATA!E63)</f>
        <v/>
      </c>
      <c r="F61" t="str">
        <f>IF(DATA!F63="","",DATA!F63)</f>
        <v/>
      </c>
      <c r="G61" t="str">
        <f>IF(DATA!G63="","",DATA!G63)</f>
        <v/>
      </c>
      <c r="H61" t="str">
        <f>IF(DATA!H63="","",DATA!H63)</f>
        <v/>
      </c>
      <c r="I61" t="str">
        <f>IF(DATA!I63="","",DATA!I63)</f>
        <v/>
      </c>
      <c r="J61" t="str">
        <f>IF(DATA!J63="","",DATA!J63)</f>
        <v/>
      </c>
      <c r="L61" t="str">
        <f t="shared" si="21"/>
        <v/>
      </c>
      <c r="M61" t="str">
        <f t="shared" si="22"/>
        <v/>
      </c>
      <c r="N61" t="str">
        <f t="shared" si="23"/>
        <v/>
      </c>
      <c r="O61" t="str">
        <f t="shared" si="24"/>
        <v/>
      </c>
      <c r="P61" t="str">
        <f t="shared" si="25"/>
        <v/>
      </c>
      <c r="Q61" t="str">
        <f t="shared" si="26"/>
        <v/>
      </c>
      <c r="R61" t="str">
        <f t="shared" si="27"/>
        <v/>
      </c>
      <c r="S61" t="str">
        <f t="shared" si="28"/>
        <v/>
      </c>
      <c r="T61" t="str">
        <f t="shared" si="29"/>
        <v/>
      </c>
      <c r="U61" t="str">
        <f>IF(L61="","",L61*DATA!B4)</f>
        <v/>
      </c>
      <c r="V61" t="str">
        <f>IF(M61="","",M61*DATA!C4)</f>
        <v/>
      </c>
      <c r="W61" t="str">
        <f>IF(N61="","",N61*DATA!D4)</f>
        <v/>
      </c>
      <c r="X61" t="str">
        <f>IF(O61="","",O61*DATA!E4)</f>
        <v/>
      </c>
      <c r="Y61" t="str">
        <f>IF(P61="","",P61*DATA!F4)</f>
        <v/>
      </c>
      <c r="Z61" t="str">
        <f>IF(Q61="","",Q61*DATA!G4)</f>
        <v/>
      </c>
      <c r="AA61" t="str">
        <f>IF(R61="","",R61*DATA!H4)</f>
        <v/>
      </c>
      <c r="AB61" t="str">
        <f>IF(S61="","",S61*DATA!I4)</f>
        <v/>
      </c>
      <c r="AC61" t="str">
        <f>IF(T61="","",T61*DATA!J4)</f>
        <v/>
      </c>
      <c r="AD61" t="str">
        <f>IF(U61="","",SQRT(SUMPRODUCT((U61:AC61-#REF!)^2)))</f>
        <v/>
      </c>
      <c r="AE61" t="str">
        <f>IF(U61="","",SQRT(SUMPRODUCT((U61:AC61-U114:AC114)^2)))</f>
        <v/>
      </c>
      <c r="AF61" t="str">
        <f t="shared" si="20"/>
        <v/>
      </c>
    </row>
    <row r="62" spans="1:32" hidden="1" outlineLevel="1">
      <c r="A62" t="str">
        <f>IF(DATA!A64="","",DATA!A64)</f>
        <v/>
      </c>
      <c r="B62" t="str">
        <f>IF(DATA!B64="","",DATA!B64)</f>
        <v/>
      </c>
      <c r="C62" t="str">
        <f>IF(DATA!C64="","",DATA!C64)</f>
        <v/>
      </c>
      <c r="D62" t="str">
        <f>IF(DATA!D64="","",DATA!D64)</f>
        <v/>
      </c>
      <c r="E62" t="str">
        <f>IF(DATA!E64="","",DATA!E64)</f>
        <v/>
      </c>
      <c r="F62" t="str">
        <f>IF(DATA!F64="","",DATA!F64)</f>
        <v/>
      </c>
      <c r="G62" t="str">
        <f>IF(DATA!G64="","",DATA!G64)</f>
        <v/>
      </c>
      <c r="H62" t="str">
        <f>IF(DATA!H64="","",DATA!H64)</f>
        <v/>
      </c>
      <c r="I62" t="str">
        <f>IF(DATA!I64="","",DATA!I64)</f>
        <v/>
      </c>
      <c r="J62" t="str">
        <f>IF(DATA!J64="","",DATA!J64)</f>
        <v/>
      </c>
      <c r="L62" t="str">
        <f t="shared" si="21"/>
        <v/>
      </c>
      <c r="M62" t="str">
        <f t="shared" si="22"/>
        <v/>
      </c>
      <c r="N62" t="str">
        <f t="shared" si="23"/>
        <v/>
      </c>
      <c r="O62" t="str">
        <f t="shared" si="24"/>
        <v/>
      </c>
      <c r="P62" t="str">
        <f t="shared" si="25"/>
        <v/>
      </c>
      <c r="Q62" t="str">
        <f t="shared" si="26"/>
        <v/>
      </c>
      <c r="R62" t="str">
        <f t="shared" si="27"/>
        <v/>
      </c>
      <c r="S62" t="str">
        <f t="shared" si="28"/>
        <v/>
      </c>
      <c r="T62" t="str">
        <f t="shared" si="29"/>
        <v/>
      </c>
      <c r="U62" t="str">
        <f>IF(L62="","",L62*DATA!B4)</f>
        <v/>
      </c>
      <c r="V62" t="str">
        <f>IF(M62="","",M62*DATA!C4)</f>
        <v/>
      </c>
      <c r="W62" t="str">
        <f>IF(N62="","",N62*DATA!D4)</f>
        <v/>
      </c>
      <c r="X62" t="str">
        <f>IF(O62="","",O62*DATA!E4)</f>
        <v/>
      </c>
      <c r="Y62" t="str">
        <f>IF(P62="","",P62*DATA!F4)</f>
        <v/>
      </c>
      <c r="Z62" t="str">
        <f>IF(Q62="","",Q62*DATA!G4)</f>
        <v/>
      </c>
      <c r="AA62" t="str">
        <f>IF(R62="","",R62*DATA!H4)</f>
        <v/>
      </c>
      <c r="AB62" t="str">
        <f>IF(S62="","",S62*DATA!I4)</f>
        <v/>
      </c>
      <c r="AC62" t="str">
        <f>IF(T62="","",T62*DATA!J4)</f>
        <v/>
      </c>
      <c r="AD62" t="str">
        <f>IF(U62="","",SQRT(SUMPRODUCT((U62:AC62-#REF!)^2)))</f>
        <v/>
      </c>
      <c r="AE62" t="str">
        <f>IF(U62="","",SQRT(SUMPRODUCT((U62:AC62-U114:AC114)^2)))</f>
        <v/>
      </c>
      <c r="AF62" t="str">
        <f t="shared" si="20"/>
        <v/>
      </c>
    </row>
    <row r="63" spans="1:32" hidden="1" outlineLevel="1">
      <c r="A63" t="str">
        <f>IF(DATA!A65="","",DATA!A65)</f>
        <v/>
      </c>
      <c r="B63" t="str">
        <f>IF(DATA!B65="","",DATA!B65)</f>
        <v/>
      </c>
      <c r="C63" t="str">
        <f>IF(DATA!C65="","",DATA!C65)</f>
        <v/>
      </c>
      <c r="D63" t="str">
        <f>IF(DATA!D65="","",DATA!D65)</f>
        <v/>
      </c>
      <c r="E63" t="str">
        <f>IF(DATA!E65="","",DATA!E65)</f>
        <v/>
      </c>
      <c r="F63" t="str">
        <f>IF(DATA!F65="","",DATA!F65)</f>
        <v/>
      </c>
      <c r="G63" t="str">
        <f>IF(DATA!G65="","",DATA!G65)</f>
        <v/>
      </c>
      <c r="H63" t="str">
        <f>IF(DATA!H65="","",DATA!H65)</f>
        <v/>
      </c>
      <c r="I63" t="str">
        <f>IF(DATA!I65="","",DATA!I65)</f>
        <v/>
      </c>
      <c r="J63" t="str">
        <f>IF(DATA!J65="","",DATA!J65)</f>
        <v/>
      </c>
      <c r="L63" t="str">
        <f t="shared" si="21"/>
        <v/>
      </c>
      <c r="M63" t="str">
        <f t="shared" si="22"/>
        <v/>
      </c>
      <c r="N63" t="str">
        <f t="shared" si="23"/>
        <v/>
      </c>
      <c r="O63" t="str">
        <f t="shared" si="24"/>
        <v/>
      </c>
      <c r="P63" t="str">
        <f t="shared" si="25"/>
        <v/>
      </c>
      <c r="Q63" t="str">
        <f t="shared" si="26"/>
        <v/>
      </c>
      <c r="R63" t="str">
        <f t="shared" si="27"/>
        <v/>
      </c>
      <c r="S63" t="str">
        <f t="shared" si="28"/>
        <v/>
      </c>
      <c r="T63" t="str">
        <f t="shared" si="29"/>
        <v/>
      </c>
      <c r="U63" t="str">
        <f>IF(L63="","",L63*DATA!B4)</f>
        <v/>
      </c>
      <c r="V63" t="str">
        <f>IF(M63="","",M63*DATA!C4)</f>
        <v/>
      </c>
      <c r="W63" t="str">
        <f>IF(N63="","",N63*DATA!D4)</f>
        <v/>
      </c>
      <c r="X63" t="str">
        <f>IF(O63="","",O63*DATA!E4)</f>
        <v/>
      </c>
      <c r="Y63" t="str">
        <f>IF(P63="","",P63*DATA!F4)</f>
        <v/>
      </c>
      <c r="Z63" t="str">
        <f>IF(Q63="","",Q63*DATA!G4)</f>
        <v/>
      </c>
      <c r="AA63" t="str">
        <f>IF(R63="","",R63*DATA!H4)</f>
        <v/>
      </c>
      <c r="AB63" t="str">
        <f>IF(S63="","",S63*DATA!I4)</f>
        <v/>
      </c>
      <c r="AC63" t="str">
        <f>IF(T63="","",T63*DATA!J4)</f>
        <v/>
      </c>
      <c r="AD63" t="str">
        <f>IF(U63="","",SQRT(SUMPRODUCT((U63:AC63-#REF!)^2)))</f>
        <v/>
      </c>
      <c r="AE63" t="str">
        <f>IF(U63="","",SQRT(SUMPRODUCT((U63:AC63-U114:AC114)^2)))</f>
        <v/>
      </c>
      <c r="AF63" t="str">
        <f t="shared" si="20"/>
        <v/>
      </c>
    </row>
    <row r="64" spans="1:32" hidden="1" outlineLevel="1">
      <c r="A64" t="str">
        <f>IF(DATA!A66="","",DATA!A66)</f>
        <v/>
      </c>
      <c r="B64" t="str">
        <f>IF(DATA!B66="","",DATA!B66)</f>
        <v/>
      </c>
      <c r="C64" t="str">
        <f>IF(DATA!C66="","",DATA!C66)</f>
        <v/>
      </c>
      <c r="D64" t="str">
        <f>IF(DATA!D66="","",DATA!D66)</f>
        <v/>
      </c>
      <c r="E64" t="str">
        <f>IF(DATA!E66="","",DATA!E66)</f>
        <v/>
      </c>
      <c r="F64" t="str">
        <f>IF(DATA!F66="","",DATA!F66)</f>
        <v/>
      </c>
      <c r="G64" t="str">
        <f>IF(DATA!G66="","",DATA!G66)</f>
        <v/>
      </c>
      <c r="H64" t="str">
        <f>IF(DATA!H66="","",DATA!H66)</f>
        <v/>
      </c>
      <c r="I64" t="str">
        <f>IF(DATA!I66="","",DATA!I66)</f>
        <v/>
      </c>
      <c r="J64" t="str">
        <f>IF(DATA!J66="","",DATA!J66)</f>
        <v/>
      </c>
      <c r="L64" t="str">
        <f t="shared" si="21"/>
        <v/>
      </c>
      <c r="M64" t="str">
        <f t="shared" si="22"/>
        <v/>
      </c>
      <c r="N64" t="str">
        <f t="shared" si="23"/>
        <v/>
      </c>
      <c r="O64" t="str">
        <f t="shared" si="24"/>
        <v/>
      </c>
      <c r="P64" t="str">
        <f t="shared" si="25"/>
        <v/>
      </c>
      <c r="Q64" t="str">
        <f t="shared" si="26"/>
        <v/>
      </c>
      <c r="R64" t="str">
        <f t="shared" si="27"/>
        <v/>
      </c>
      <c r="S64" t="str">
        <f t="shared" si="28"/>
        <v/>
      </c>
      <c r="T64" t="str">
        <f t="shared" si="29"/>
        <v/>
      </c>
      <c r="U64" t="str">
        <f>IF(L64="","",L64*DATA!B4)</f>
        <v/>
      </c>
      <c r="V64" t="str">
        <f>IF(M64="","",M64*DATA!C4)</f>
        <v/>
      </c>
      <c r="W64" t="str">
        <f>IF(N64="","",N64*DATA!D4)</f>
        <v/>
      </c>
      <c r="X64" t="str">
        <f>IF(O64="","",O64*DATA!E4)</f>
        <v/>
      </c>
      <c r="Y64" t="str">
        <f>IF(P64="","",P64*DATA!F4)</f>
        <v/>
      </c>
      <c r="Z64" t="str">
        <f>IF(Q64="","",Q64*DATA!G4)</f>
        <v/>
      </c>
      <c r="AA64" t="str">
        <f>IF(R64="","",R64*DATA!H4)</f>
        <v/>
      </c>
      <c r="AB64" t="str">
        <f>IF(S64="","",S64*DATA!I4)</f>
        <v/>
      </c>
      <c r="AC64" t="str">
        <f>IF(T64="","",T64*DATA!J4)</f>
        <v/>
      </c>
      <c r="AD64" t="str">
        <f>IF(U64="","",SQRT(SUMPRODUCT((U64:AC64-#REF!)^2)))</f>
        <v/>
      </c>
      <c r="AE64" t="str">
        <f>IF(U64="","",SQRT(SUMPRODUCT((U64:AC64-U114:AC114)^2)))</f>
        <v/>
      </c>
      <c r="AF64" t="str">
        <f t="shared" si="20"/>
        <v/>
      </c>
    </row>
    <row r="65" spans="1:32" hidden="1" outlineLevel="1">
      <c r="A65" t="str">
        <f>IF(DATA!A67="","",DATA!A67)</f>
        <v/>
      </c>
      <c r="B65" t="str">
        <f>IF(DATA!B67="","",DATA!B67)</f>
        <v/>
      </c>
      <c r="C65" t="str">
        <f>IF(DATA!C67="","",DATA!C67)</f>
        <v/>
      </c>
      <c r="D65" t="str">
        <f>IF(DATA!D67="","",DATA!D67)</f>
        <v/>
      </c>
      <c r="E65" t="str">
        <f>IF(DATA!E67="","",DATA!E67)</f>
        <v/>
      </c>
      <c r="F65" t="str">
        <f>IF(DATA!F67="","",DATA!F67)</f>
        <v/>
      </c>
      <c r="G65" t="str">
        <f>IF(DATA!G67="","",DATA!G67)</f>
        <v/>
      </c>
      <c r="H65" t="str">
        <f>IF(DATA!H67="","",DATA!H67)</f>
        <v/>
      </c>
      <c r="I65" t="str">
        <f>IF(DATA!I67="","",DATA!I67)</f>
        <v/>
      </c>
      <c r="J65" t="str">
        <f>IF(DATA!J67="","",DATA!J67)</f>
        <v/>
      </c>
      <c r="L65" t="str">
        <f t="shared" si="21"/>
        <v/>
      </c>
      <c r="M65" t="str">
        <f t="shared" si="22"/>
        <v/>
      </c>
      <c r="N65" t="str">
        <f t="shared" si="23"/>
        <v/>
      </c>
      <c r="O65" t="str">
        <f t="shared" si="24"/>
        <v/>
      </c>
      <c r="P65" t="str">
        <f t="shared" si="25"/>
        <v/>
      </c>
      <c r="Q65" t="str">
        <f t="shared" si="26"/>
        <v/>
      </c>
      <c r="R65" t="str">
        <f t="shared" si="27"/>
        <v/>
      </c>
      <c r="S65" t="str">
        <f t="shared" si="28"/>
        <v/>
      </c>
      <c r="T65" t="str">
        <f t="shared" si="29"/>
        <v/>
      </c>
      <c r="U65" t="str">
        <f>IF(L65="","",L65*DATA!B4)</f>
        <v/>
      </c>
      <c r="V65" t="str">
        <f>IF(M65="","",M65*DATA!C4)</f>
        <v/>
      </c>
      <c r="W65" t="str">
        <f>IF(N65="","",N65*DATA!D4)</f>
        <v/>
      </c>
      <c r="X65" t="str">
        <f>IF(O65="","",O65*DATA!E4)</f>
        <v/>
      </c>
      <c r="Y65" t="str">
        <f>IF(P65="","",P65*DATA!F4)</f>
        <v/>
      </c>
      <c r="Z65" t="str">
        <f>IF(Q65="","",Q65*DATA!G4)</f>
        <v/>
      </c>
      <c r="AA65" t="str">
        <f>IF(R65="","",R65*DATA!H4)</f>
        <v/>
      </c>
      <c r="AB65" t="str">
        <f>IF(S65="","",S65*DATA!I4)</f>
        <v/>
      </c>
      <c r="AC65" t="str">
        <f>IF(T65="","",T65*DATA!J4)</f>
        <v/>
      </c>
      <c r="AD65" t="str">
        <f>IF(U65="","",SQRT(SUMPRODUCT((U65:AC65-#REF!)^2)))</f>
        <v/>
      </c>
      <c r="AE65" t="str">
        <f>IF(U65="","",SQRT(SUMPRODUCT((U65:AC65-U114:AC114)^2)))</f>
        <v/>
      </c>
      <c r="AF65" t="str">
        <f t="shared" si="20"/>
        <v/>
      </c>
    </row>
    <row r="66" spans="1:32" hidden="1" outlineLevel="1">
      <c r="A66" t="str">
        <f>IF(DATA!A68="","",DATA!A68)</f>
        <v/>
      </c>
      <c r="B66" t="str">
        <f>IF(DATA!B68="","",DATA!B68)</f>
        <v/>
      </c>
      <c r="C66" t="str">
        <f>IF(DATA!C68="","",DATA!C68)</f>
        <v/>
      </c>
      <c r="D66" t="str">
        <f>IF(DATA!D68="","",DATA!D68)</f>
        <v/>
      </c>
      <c r="E66" t="str">
        <f>IF(DATA!E68="","",DATA!E68)</f>
        <v/>
      </c>
      <c r="F66" t="str">
        <f>IF(DATA!F68="","",DATA!F68)</f>
        <v/>
      </c>
      <c r="G66" t="str">
        <f>IF(DATA!G68="","",DATA!G68)</f>
        <v/>
      </c>
      <c r="H66" t="str">
        <f>IF(DATA!H68="","",DATA!H68)</f>
        <v/>
      </c>
      <c r="I66" t="str">
        <f>IF(DATA!I68="","",DATA!I68)</f>
        <v/>
      </c>
      <c r="J66" t="str">
        <f>IF(DATA!J68="","",DATA!J68)</f>
        <v/>
      </c>
      <c r="L66" t="str">
        <f t="shared" si="21"/>
        <v/>
      </c>
      <c r="M66" t="str">
        <f t="shared" si="22"/>
        <v/>
      </c>
      <c r="N66" t="str">
        <f t="shared" si="23"/>
        <v/>
      </c>
      <c r="O66" t="str">
        <f t="shared" si="24"/>
        <v/>
      </c>
      <c r="P66" t="str">
        <f t="shared" si="25"/>
        <v/>
      </c>
      <c r="Q66" t="str">
        <f t="shared" si="26"/>
        <v/>
      </c>
      <c r="R66" t="str">
        <f t="shared" si="27"/>
        <v/>
      </c>
      <c r="S66" t="str">
        <f t="shared" si="28"/>
        <v/>
      </c>
      <c r="T66" t="str">
        <f t="shared" si="29"/>
        <v/>
      </c>
      <c r="U66" t="str">
        <f>IF(L66="","",L66*DATA!B4)</f>
        <v/>
      </c>
      <c r="V66" t="str">
        <f>IF(M66="","",M66*DATA!C4)</f>
        <v/>
      </c>
      <c r="W66" t="str">
        <f>IF(N66="","",N66*DATA!D4)</f>
        <v/>
      </c>
      <c r="X66" t="str">
        <f>IF(O66="","",O66*DATA!E4)</f>
        <v/>
      </c>
      <c r="Y66" t="str">
        <f>IF(P66="","",P66*DATA!F4)</f>
        <v/>
      </c>
      <c r="Z66" t="str">
        <f>IF(Q66="","",Q66*DATA!G4)</f>
        <v/>
      </c>
      <c r="AA66" t="str">
        <f>IF(R66="","",R66*DATA!H4)</f>
        <v/>
      </c>
      <c r="AB66" t="str">
        <f>IF(S66="","",S66*DATA!I4)</f>
        <v/>
      </c>
      <c r="AC66" t="str">
        <f>IF(T66="","",T66*DATA!J4)</f>
        <v/>
      </c>
      <c r="AD66" t="str">
        <f>IF(U66="","",SQRT(SUMPRODUCT((U66:AC66-#REF!)^2)))</f>
        <v/>
      </c>
      <c r="AE66" t="str">
        <f>IF(U66="","",SQRT(SUMPRODUCT((U66:AC66-U114:AC114)^2)))</f>
        <v/>
      </c>
      <c r="AF66" t="str">
        <f t="shared" si="20"/>
        <v/>
      </c>
    </row>
    <row r="67" spans="1:32" hidden="1" outlineLevel="1">
      <c r="A67" t="str">
        <f>IF(DATA!A69="","",DATA!A69)</f>
        <v/>
      </c>
      <c r="B67" t="str">
        <f>IF(DATA!B69="","",DATA!B69)</f>
        <v/>
      </c>
      <c r="C67" t="str">
        <f>IF(DATA!C69="","",DATA!C69)</f>
        <v/>
      </c>
      <c r="D67" t="str">
        <f>IF(DATA!D69="","",DATA!D69)</f>
        <v/>
      </c>
      <c r="E67" t="str">
        <f>IF(DATA!E69="","",DATA!E69)</f>
        <v/>
      </c>
      <c r="F67" t="str">
        <f>IF(DATA!F69="","",DATA!F69)</f>
        <v/>
      </c>
      <c r="G67" t="str">
        <f>IF(DATA!G69="","",DATA!G69)</f>
        <v/>
      </c>
      <c r="H67" t="str">
        <f>IF(DATA!H69="","",DATA!H69)</f>
        <v/>
      </c>
      <c r="I67" t="str">
        <f>IF(DATA!I69="","",DATA!I69)</f>
        <v/>
      </c>
      <c r="J67" t="str">
        <f>IF(DATA!J69="","",DATA!J69)</f>
        <v/>
      </c>
      <c r="L67" t="str">
        <f t="shared" si="21"/>
        <v/>
      </c>
      <c r="M67" t="str">
        <f t="shared" si="22"/>
        <v/>
      </c>
      <c r="N67" t="str">
        <f t="shared" si="23"/>
        <v/>
      </c>
      <c r="O67" t="str">
        <f t="shared" si="24"/>
        <v/>
      </c>
      <c r="P67" t="str">
        <f t="shared" si="25"/>
        <v/>
      </c>
      <c r="Q67" t="str">
        <f t="shared" si="26"/>
        <v/>
      </c>
      <c r="R67" t="str">
        <f t="shared" si="27"/>
        <v/>
      </c>
      <c r="S67" t="str">
        <f t="shared" si="28"/>
        <v/>
      </c>
      <c r="T67" t="str">
        <f t="shared" si="29"/>
        <v/>
      </c>
      <c r="U67" t="str">
        <f>IF(L67="","",L67*DATA!B4)</f>
        <v/>
      </c>
      <c r="V67" t="str">
        <f>IF(M67="","",M67*DATA!C4)</f>
        <v/>
      </c>
      <c r="W67" t="str">
        <f>IF(N67="","",N67*DATA!D4)</f>
        <v/>
      </c>
      <c r="X67" t="str">
        <f>IF(O67="","",O67*DATA!E4)</f>
        <v/>
      </c>
      <c r="Y67" t="str">
        <f>IF(P67="","",P67*DATA!F4)</f>
        <v/>
      </c>
      <c r="Z67" t="str">
        <f>IF(Q67="","",Q67*DATA!G4)</f>
        <v/>
      </c>
      <c r="AA67" t="str">
        <f>IF(R67="","",R67*DATA!H4)</f>
        <v/>
      </c>
      <c r="AB67" t="str">
        <f>IF(S67="","",S67*DATA!I4)</f>
        <v/>
      </c>
      <c r="AC67" t="str">
        <f>IF(T67="","",T67*DATA!J4)</f>
        <v/>
      </c>
      <c r="AD67" t="str">
        <f>IF(U67="","",SQRT(SUMPRODUCT((U67:AC67-#REF!)^2)))</f>
        <v/>
      </c>
      <c r="AE67" t="str">
        <f>IF(U67="","",SQRT(SUMPRODUCT((U67:AC67-U114:AC114)^2)))</f>
        <v/>
      </c>
      <c r="AF67" t="str">
        <f t="shared" si="20"/>
        <v/>
      </c>
    </row>
    <row r="68" spans="1:32" hidden="1" outlineLevel="1">
      <c r="A68" t="str">
        <f>IF(DATA!A70="","",DATA!A70)</f>
        <v/>
      </c>
      <c r="B68" t="str">
        <f>IF(DATA!B70="","",DATA!B70)</f>
        <v/>
      </c>
      <c r="C68" t="str">
        <f>IF(DATA!C70="","",DATA!C70)</f>
        <v/>
      </c>
      <c r="D68" t="str">
        <f>IF(DATA!D70="","",DATA!D70)</f>
        <v/>
      </c>
      <c r="E68" t="str">
        <f>IF(DATA!E70="","",DATA!E70)</f>
        <v/>
      </c>
      <c r="F68" t="str">
        <f>IF(DATA!F70="","",DATA!F70)</f>
        <v/>
      </c>
      <c r="G68" t="str">
        <f>IF(DATA!G70="","",DATA!G70)</f>
        <v/>
      </c>
      <c r="H68" t="str">
        <f>IF(DATA!H70="","",DATA!H70)</f>
        <v/>
      </c>
      <c r="I68" t="str">
        <f>IF(DATA!I70="","",DATA!I70)</f>
        <v/>
      </c>
      <c r="J68" t="str">
        <f>IF(DATA!J70="","",DATA!J70)</f>
        <v/>
      </c>
      <c r="L68" t="str">
        <f t="shared" si="21"/>
        <v/>
      </c>
      <c r="M68" t="str">
        <f t="shared" si="22"/>
        <v/>
      </c>
      <c r="N68" t="str">
        <f t="shared" si="23"/>
        <v/>
      </c>
      <c r="O68" t="str">
        <f t="shared" si="24"/>
        <v/>
      </c>
      <c r="P68" t="str">
        <f t="shared" si="25"/>
        <v/>
      </c>
      <c r="Q68" t="str">
        <f t="shared" si="26"/>
        <v/>
      </c>
      <c r="R68" t="str">
        <f t="shared" si="27"/>
        <v/>
      </c>
      <c r="S68" t="str">
        <f t="shared" si="28"/>
        <v/>
      </c>
      <c r="T68" t="str">
        <f t="shared" si="29"/>
        <v/>
      </c>
      <c r="U68" t="str">
        <f>IF(L68="","",L68*DATA!B4)</f>
        <v/>
      </c>
      <c r="V68" t="str">
        <f>IF(M68="","",M68*DATA!C4)</f>
        <v/>
      </c>
      <c r="W68" t="str">
        <f>IF(N68="","",N68*DATA!D4)</f>
        <v/>
      </c>
      <c r="X68" t="str">
        <f>IF(O68="","",O68*DATA!E4)</f>
        <v/>
      </c>
      <c r="Y68" t="str">
        <f>IF(P68="","",P68*DATA!F4)</f>
        <v/>
      </c>
      <c r="Z68" t="str">
        <f>IF(Q68="","",Q68*DATA!G4)</f>
        <v/>
      </c>
      <c r="AA68" t="str">
        <f>IF(R68="","",R68*DATA!H4)</f>
        <v/>
      </c>
      <c r="AB68" t="str">
        <f>IF(S68="","",S68*DATA!I4)</f>
        <v/>
      </c>
      <c r="AC68" t="str">
        <f>IF(T68="","",T68*DATA!J4)</f>
        <v/>
      </c>
      <c r="AD68" t="str">
        <f>IF(U68="","",SQRT(SUMPRODUCT((U68:AC68-#REF!)^2)))</f>
        <v/>
      </c>
      <c r="AE68" t="str">
        <f>IF(U68="","",SQRT(SUMPRODUCT((U68:AC68-U114:AC114)^2)))</f>
        <v/>
      </c>
      <c r="AF68" t="str">
        <f t="shared" si="20"/>
        <v/>
      </c>
    </row>
    <row r="69" spans="1:32" hidden="1" outlineLevel="1">
      <c r="A69" t="str">
        <f>IF(DATA!A71="","",DATA!A71)</f>
        <v/>
      </c>
      <c r="B69" t="str">
        <f>IF(DATA!B71="","",DATA!B71)</f>
        <v/>
      </c>
      <c r="C69" t="str">
        <f>IF(DATA!C71="","",DATA!C71)</f>
        <v/>
      </c>
      <c r="D69" t="str">
        <f>IF(DATA!D71="","",DATA!D71)</f>
        <v/>
      </c>
      <c r="E69" t="str">
        <f>IF(DATA!E71="","",DATA!E71)</f>
        <v/>
      </c>
      <c r="F69" t="str">
        <f>IF(DATA!F71="","",DATA!F71)</f>
        <v/>
      </c>
      <c r="G69" t="str">
        <f>IF(DATA!G71="","",DATA!G71)</f>
        <v/>
      </c>
      <c r="H69" t="str">
        <f>IF(DATA!H71="","",DATA!H71)</f>
        <v/>
      </c>
      <c r="I69" t="str">
        <f>IF(DATA!I71="","",DATA!I71)</f>
        <v/>
      </c>
      <c r="J69" t="str">
        <f>IF(DATA!J71="","",DATA!J71)</f>
        <v/>
      </c>
      <c r="L69" t="str">
        <f t="shared" si="21"/>
        <v/>
      </c>
      <c r="M69" t="str">
        <f t="shared" si="22"/>
        <v/>
      </c>
      <c r="N69" t="str">
        <f t="shared" si="23"/>
        <v/>
      </c>
      <c r="O69" t="str">
        <f t="shared" si="24"/>
        <v/>
      </c>
      <c r="P69" t="str">
        <f t="shared" si="25"/>
        <v/>
      </c>
      <c r="Q69" t="str">
        <f t="shared" si="26"/>
        <v/>
      </c>
      <c r="R69" t="str">
        <f t="shared" si="27"/>
        <v/>
      </c>
      <c r="S69" t="str">
        <f t="shared" si="28"/>
        <v/>
      </c>
      <c r="T69" t="str">
        <f t="shared" si="29"/>
        <v/>
      </c>
      <c r="U69" t="str">
        <f>IF(L69="","",L69*DATA!B4)</f>
        <v/>
      </c>
      <c r="V69" t="str">
        <f>IF(M69="","",M69*DATA!C4)</f>
        <v/>
      </c>
      <c r="W69" t="str">
        <f>IF(N69="","",N69*DATA!D4)</f>
        <v/>
      </c>
      <c r="X69" t="str">
        <f>IF(O69="","",O69*DATA!E4)</f>
        <v/>
      </c>
      <c r="Y69" t="str">
        <f>IF(P69="","",P69*DATA!F4)</f>
        <v/>
      </c>
      <c r="Z69" t="str">
        <f>IF(Q69="","",Q69*DATA!G4)</f>
        <v/>
      </c>
      <c r="AA69" t="str">
        <f>IF(R69="","",R69*DATA!H4)</f>
        <v/>
      </c>
      <c r="AB69" t="str">
        <f>IF(S69="","",S69*DATA!I4)</f>
        <v/>
      </c>
      <c r="AC69" t="str">
        <f>IF(T69="","",T69*DATA!J4)</f>
        <v/>
      </c>
      <c r="AD69" t="str">
        <f>IF(U69="","",SQRT(SUMPRODUCT((U69:AC69-#REF!)^2)))</f>
        <v/>
      </c>
      <c r="AE69" t="str">
        <f>IF(U69="","",SQRT(SUMPRODUCT((U69:AC69-U114:AC114)^2)))</f>
        <v/>
      </c>
      <c r="AF69" t="str">
        <f t="shared" si="20"/>
        <v/>
      </c>
    </row>
    <row r="70" spans="1:32" hidden="1" outlineLevel="1">
      <c r="A70" t="str">
        <f>IF(DATA!A72="","",DATA!A72)</f>
        <v/>
      </c>
      <c r="B70" t="str">
        <f>IF(DATA!B72="","",DATA!B72)</f>
        <v/>
      </c>
      <c r="C70" t="str">
        <f>IF(DATA!C72="","",DATA!C72)</f>
        <v/>
      </c>
      <c r="D70" t="str">
        <f>IF(DATA!D72="","",DATA!D72)</f>
        <v/>
      </c>
      <c r="E70" t="str">
        <f>IF(DATA!E72="","",DATA!E72)</f>
        <v/>
      </c>
      <c r="F70" t="str">
        <f>IF(DATA!F72="","",DATA!F72)</f>
        <v/>
      </c>
      <c r="G70" t="str">
        <f>IF(DATA!G72="","",DATA!G72)</f>
        <v/>
      </c>
      <c r="H70" t="str">
        <f>IF(DATA!H72="","",DATA!H72)</f>
        <v/>
      </c>
      <c r="I70" t="str">
        <f>IF(DATA!I72="","",DATA!I72)</f>
        <v/>
      </c>
      <c r="J70" t="str">
        <f>IF(DATA!J72="","",DATA!J72)</f>
        <v/>
      </c>
      <c r="L70" t="str">
        <f t="shared" ref="L70:L105" si="30">IF(B70="","",B70/SQRT(SUMSQ(B$6:B$105)))</f>
        <v/>
      </c>
      <c r="M70" t="str">
        <f t="shared" ref="M70:M105" si="31">IF(C70="","",C70/SQRT(SUMSQ(C$6:C$105)))</f>
        <v/>
      </c>
      <c r="N70" t="str">
        <f t="shared" ref="N70:N105" si="32">IF(D70="","",D70/SQRT(SUMSQ(D$6:D$105)))</f>
        <v/>
      </c>
      <c r="O70" t="str">
        <f t="shared" ref="O70:O105" si="33">IF(E70="","",E70/SQRT(SUMSQ(E$6:E$105)))</f>
        <v/>
      </c>
      <c r="P70" t="str">
        <f t="shared" ref="P70:P105" si="34">IF(F70="","",F70/SQRT(SUMSQ(F$6:F$105)))</f>
        <v/>
      </c>
      <c r="Q70" t="str">
        <f t="shared" ref="Q70:Q105" si="35">IF(G70="","",G70/SQRT(SUMSQ(G$6:G$105)))</f>
        <v/>
      </c>
      <c r="R70" t="str">
        <f t="shared" ref="R70:R105" si="36">IF(H70="","",H70/SQRT(SUMSQ(H$6:H$105)))</f>
        <v/>
      </c>
      <c r="S70" t="str">
        <f t="shared" ref="S70:S105" si="37">IF(I70="","",I70/SQRT(SUMSQ(I$6:I$105)))</f>
        <v/>
      </c>
      <c r="T70" t="str">
        <f t="shared" ref="T70:T105" si="38">IF(J70="","",J70/SQRT(SUMSQ(J$6:J$105)))</f>
        <v/>
      </c>
      <c r="U70" t="str">
        <f>IF(L70="","",L70*DATA!B4)</f>
        <v/>
      </c>
      <c r="V70" t="str">
        <f>IF(M70="","",M70*DATA!C4)</f>
        <v/>
      </c>
      <c r="W70" t="str">
        <f>IF(N70="","",N70*DATA!D4)</f>
        <v/>
      </c>
      <c r="X70" t="str">
        <f>IF(O70="","",O70*DATA!E4)</f>
        <v/>
      </c>
      <c r="Y70" t="str">
        <f>IF(P70="","",P70*DATA!F4)</f>
        <v/>
      </c>
      <c r="Z70" t="str">
        <f>IF(Q70="","",Q70*DATA!G4)</f>
        <v/>
      </c>
      <c r="AA70" t="str">
        <f>IF(R70="","",R70*DATA!H4)</f>
        <v/>
      </c>
      <c r="AB70" t="str">
        <f>IF(S70="","",S70*DATA!I4)</f>
        <v/>
      </c>
      <c r="AC70" t="str">
        <f>IF(T70="","",T70*DATA!J4)</f>
        <v/>
      </c>
      <c r="AD70" t="str">
        <f>IF(U70="","",SQRT(SUMPRODUCT((U70:AC70-#REF!)^2)))</f>
        <v/>
      </c>
      <c r="AE70" t="str">
        <f>IF(U70="","",SQRT(SUMPRODUCT((U70:AC70-U114:AC114)^2)))</f>
        <v/>
      </c>
      <c r="AF70" t="str">
        <f t="shared" si="20"/>
        <v/>
      </c>
    </row>
    <row r="71" spans="1:32" hidden="1" outlineLevel="1">
      <c r="A71" t="str">
        <f>IF(DATA!A73="","",DATA!A73)</f>
        <v/>
      </c>
      <c r="B71" t="str">
        <f>IF(DATA!B73="","",DATA!B73)</f>
        <v/>
      </c>
      <c r="C71" t="str">
        <f>IF(DATA!C73="","",DATA!C73)</f>
        <v/>
      </c>
      <c r="D71" t="str">
        <f>IF(DATA!D73="","",DATA!D73)</f>
        <v/>
      </c>
      <c r="E71" t="str">
        <f>IF(DATA!E73="","",DATA!E73)</f>
        <v/>
      </c>
      <c r="F71" t="str">
        <f>IF(DATA!F73="","",DATA!F73)</f>
        <v/>
      </c>
      <c r="G71" t="str">
        <f>IF(DATA!G73="","",DATA!G73)</f>
        <v/>
      </c>
      <c r="H71" t="str">
        <f>IF(DATA!H73="","",DATA!H73)</f>
        <v/>
      </c>
      <c r="I71" t="str">
        <f>IF(DATA!I73="","",DATA!I73)</f>
        <v/>
      </c>
      <c r="J71" t="str">
        <f>IF(DATA!J73="","",DATA!J73)</f>
        <v/>
      </c>
      <c r="L71" t="str">
        <f t="shared" si="30"/>
        <v/>
      </c>
      <c r="M71" t="str">
        <f t="shared" si="31"/>
        <v/>
      </c>
      <c r="N71" t="str">
        <f t="shared" si="32"/>
        <v/>
      </c>
      <c r="O71" t="str">
        <f t="shared" si="33"/>
        <v/>
      </c>
      <c r="P71" t="str">
        <f t="shared" si="34"/>
        <v/>
      </c>
      <c r="Q71" t="str">
        <f t="shared" si="35"/>
        <v/>
      </c>
      <c r="R71" t="str">
        <f t="shared" si="36"/>
        <v/>
      </c>
      <c r="S71" t="str">
        <f t="shared" si="37"/>
        <v/>
      </c>
      <c r="T71" t="str">
        <f t="shared" si="38"/>
        <v/>
      </c>
      <c r="U71" t="str">
        <f>IF(L71="","",L71*DATA!B4)</f>
        <v/>
      </c>
      <c r="V71" t="str">
        <f>IF(M71="","",M71*DATA!C4)</f>
        <v/>
      </c>
      <c r="W71" t="str">
        <f>IF(N71="","",N71*DATA!D4)</f>
        <v/>
      </c>
      <c r="X71" t="str">
        <f>IF(O71="","",O71*DATA!E4)</f>
        <v/>
      </c>
      <c r="Y71" t="str">
        <f>IF(P71="","",P71*DATA!F4)</f>
        <v/>
      </c>
      <c r="Z71" t="str">
        <f>IF(Q71="","",Q71*DATA!G4)</f>
        <v/>
      </c>
      <c r="AA71" t="str">
        <f>IF(R71="","",R71*DATA!H4)</f>
        <v/>
      </c>
      <c r="AB71" t="str">
        <f>IF(S71="","",S71*DATA!I4)</f>
        <v/>
      </c>
      <c r="AC71" t="str">
        <f>IF(T71="","",T71*DATA!J4)</f>
        <v/>
      </c>
      <c r="AD71" t="str">
        <f>IF(U71="","",SQRT(SUMPRODUCT((U71:AC71-#REF!)^2)))</f>
        <v/>
      </c>
      <c r="AE71" t="str">
        <f>IF(U71="","",SQRT(SUMPRODUCT((U71:AC71-U114:AC114)^2)))</f>
        <v/>
      </c>
      <c r="AF71" t="str">
        <f t="shared" ref="AF71:AF105" si="39">IF(OR(AD71="",AE71=""),"",AE71/(AD71+AE71))</f>
        <v/>
      </c>
    </row>
    <row r="72" spans="1:32" hidden="1" outlineLevel="1">
      <c r="A72" t="str">
        <f>IF(DATA!A74="","",DATA!A74)</f>
        <v/>
      </c>
      <c r="B72" t="str">
        <f>IF(DATA!B74="","",DATA!B74)</f>
        <v/>
      </c>
      <c r="C72" t="str">
        <f>IF(DATA!C74="","",DATA!C74)</f>
        <v/>
      </c>
      <c r="D72" t="str">
        <f>IF(DATA!D74="","",DATA!D74)</f>
        <v/>
      </c>
      <c r="E72" t="str">
        <f>IF(DATA!E74="","",DATA!E74)</f>
        <v/>
      </c>
      <c r="F72" t="str">
        <f>IF(DATA!F74="","",DATA!F74)</f>
        <v/>
      </c>
      <c r="G72" t="str">
        <f>IF(DATA!G74="","",DATA!G74)</f>
        <v/>
      </c>
      <c r="H72" t="str">
        <f>IF(DATA!H74="","",DATA!H74)</f>
        <v/>
      </c>
      <c r="I72" t="str">
        <f>IF(DATA!I74="","",DATA!I74)</f>
        <v/>
      </c>
      <c r="J72" t="str">
        <f>IF(DATA!J74="","",DATA!J74)</f>
        <v/>
      </c>
      <c r="L72" t="str">
        <f t="shared" si="30"/>
        <v/>
      </c>
      <c r="M72" t="str">
        <f t="shared" si="31"/>
        <v/>
      </c>
      <c r="N72" t="str">
        <f t="shared" si="32"/>
        <v/>
      </c>
      <c r="O72" t="str">
        <f t="shared" si="33"/>
        <v/>
      </c>
      <c r="P72" t="str">
        <f t="shared" si="34"/>
        <v/>
      </c>
      <c r="Q72" t="str">
        <f t="shared" si="35"/>
        <v/>
      </c>
      <c r="R72" t="str">
        <f t="shared" si="36"/>
        <v/>
      </c>
      <c r="S72" t="str">
        <f t="shared" si="37"/>
        <v/>
      </c>
      <c r="T72" t="str">
        <f t="shared" si="38"/>
        <v/>
      </c>
      <c r="U72" t="str">
        <f>IF(L72="","",L72*DATA!B4)</f>
        <v/>
      </c>
      <c r="V72" t="str">
        <f>IF(M72="","",M72*DATA!C4)</f>
        <v/>
      </c>
      <c r="W72" t="str">
        <f>IF(N72="","",N72*DATA!D4)</f>
        <v/>
      </c>
      <c r="X72" t="str">
        <f>IF(O72="","",O72*DATA!E4)</f>
        <v/>
      </c>
      <c r="Y72" t="str">
        <f>IF(P72="","",P72*DATA!F4)</f>
        <v/>
      </c>
      <c r="Z72" t="str">
        <f>IF(Q72="","",Q72*DATA!G4)</f>
        <v/>
      </c>
      <c r="AA72" t="str">
        <f>IF(R72="","",R72*DATA!H4)</f>
        <v/>
      </c>
      <c r="AB72" t="str">
        <f>IF(S72="","",S72*DATA!I4)</f>
        <v/>
      </c>
      <c r="AC72" t="str">
        <f>IF(T72="","",T72*DATA!J4)</f>
        <v/>
      </c>
      <c r="AD72" t="str">
        <f>IF(U72="","",SQRT(SUMPRODUCT((U72:AC72-#REF!)^2)))</f>
        <v/>
      </c>
      <c r="AE72" t="str">
        <f>IF(U72="","",SQRT(SUMPRODUCT((U72:AC72-U114:AC114)^2)))</f>
        <v/>
      </c>
      <c r="AF72" t="str">
        <f t="shared" si="39"/>
        <v/>
      </c>
    </row>
    <row r="73" spans="1:32" hidden="1" outlineLevel="1">
      <c r="A73" t="str">
        <f>IF(DATA!A75="","",DATA!A75)</f>
        <v/>
      </c>
      <c r="B73" t="str">
        <f>IF(DATA!B75="","",DATA!B75)</f>
        <v/>
      </c>
      <c r="C73" t="str">
        <f>IF(DATA!C75="","",DATA!C75)</f>
        <v/>
      </c>
      <c r="D73" t="str">
        <f>IF(DATA!D75="","",DATA!D75)</f>
        <v/>
      </c>
      <c r="E73" t="str">
        <f>IF(DATA!E75="","",DATA!E75)</f>
        <v/>
      </c>
      <c r="F73" t="str">
        <f>IF(DATA!F75="","",DATA!F75)</f>
        <v/>
      </c>
      <c r="G73" t="str">
        <f>IF(DATA!G75="","",DATA!G75)</f>
        <v/>
      </c>
      <c r="H73" t="str">
        <f>IF(DATA!H75="","",DATA!H75)</f>
        <v/>
      </c>
      <c r="I73" t="str">
        <f>IF(DATA!I75="","",DATA!I75)</f>
        <v/>
      </c>
      <c r="J73" t="str">
        <f>IF(DATA!J75="","",DATA!J75)</f>
        <v/>
      </c>
      <c r="L73" t="str">
        <f t="shared" si="30"/>
        <v/>
      </c>
      <c r="M73" t="str">
        <f t="shared" si="31"/>
        <v/>
      </c>
      <c r="N73" t="str">
        <f t="shared" si="32"/>
        <v/>
      </c>
      <c r="O73" t="str">
        <f t="shared" si="33"/>
        <v/>
      </c>
      <c r="P73" t="str">
        <f t="shared" si="34"/>
        <v/>
      </c>
      <c r="Q73" t="str">
        <f t="shared" si="35"/>
        <v/>
      </c>
      <c r="R73" t="str">
        <f t="shared" si="36"/>
        <v/>
      </c>
      <c r="S73" t="str">
        <f t="shared" si="37"/>
        <v/>
      </c>
      <c r="T73" t="str">
        <f t="shared" si="38"/>
        <v/>
      </c>
      <c r="U73" t="str">
        <f>IF(L73="","",L73*DATA!B4)</f>
        <v/>
      </c>
      <c r="V73" t="str">
        <f>IF(M73="","",M73*DATA!C4)</f>
        <v/>
      </c>
      <c r="W73" t="str">
        <f>IF(N73="","",N73*DATA!D4)</f>
        <v/>
      </c>
      <c r="X73" t="str">
        <f>IF(O73="","",O73*DATA!E4)</f>
        <v/>
      </c>
      <c r="Y73" t="str">
        <f>IF(P73="","",P73*DATA!F4)</f>
        <v/>
      </c>
      <c r="Z73" t="str">
        <f>IF(Q73="","",Q73*DATA!G4)</f>
        <v/>
      </c>
      <c r="AA73" t="str">
        <f>IF(R73="","",R73*DATA!H4)</f>
        <v/>
      </c>
      <c r="AB73" t="str">
        <f>IF(S73="","",S73*DATA!I4)</f>
        <v/>
      </c>
      <c r="AC73" t="str">
        <f>IF(T73="","",T73*DATA!J4)</f>
        <v/>
      </c>
      <c r="AD73" t="str">
        <f>IF(U73="","",SQRT(SUMPRODUCT((U73:AC73-#REF!)^2)))</f>
        <v/>
      </c>
      <c r="AE73" t="str">
        <f>IF(U73="","",SQRT(SUMPRODUCT((U73:AC73-U114:AC114)^2)))</f>
        <v/>
      </c>
      <c r="AF73" t="str">
        <f t="shared" si="39"/>
        <v/>
      </c>
    </row>
    <row r="74" spans="1:32" hidden="1" outlineLevel="1">
      <c r="A74" t="str">
        <f>IF(DATA!A76="","",DATA!A76)</f>
        <v/>
      </c>
      <c r="B74" t="str">
        <f>IF(DATA!B76="","",DATA!B76)</f>
        <v/>
      </c>
      <c r="C74" t="str">
        <f>IF(DATA!C76="","",DATA!C76)</f>
        <v/>
      </c>
      <c r="D74" t="str">
        <f>IF(DATA!D76="","",DATA!D76)</f>
        <v/>
      </c>
      <c r="E74" t="str">
        <f>IF(DATA!E76="","",DATA!E76)</f>
        <v/>
      </c>
      <c r="F74" t="str">
        <f>IF(DATA!F76="","",DATA!F76)</f>
        <v/>
      </c>
      <c r="G74" t="str">
        <f>IF(DATA!G76="","",DATA!G76)</f>
        <v/>
      </c>
      <c r="H74" t="str">
        <f>IF(DATA!H76="","",DATA!H76)</f>
        <v/>
      </c>
      <c r="I74" t="str">
        <f>IF(DATA!I76="","",DATA!I76)</f>
        <v/>
      </c>
      <c r="J74" t="str">
        <f>IF(DATA!J76="","",DATA!J76)</f>
        <v/>
      </c>
      <c r="L74" t="str">
        <f t="shared" si="30"/>
        <v/>
      </c>
      <c r="M74" t="str">
        <f t="shared" si="31"/>
        <v/>
      </c>
      <c r="N74" t="str">
        <f t="shared" si="32"/>
        <v/>
      </c>
      <c r="O74" t="str">
        <f t="shared" si="33"/>
        <v/>
      </c>
      <c r="P74" t="str">
        <f t="shared" si="34"/>
        <v/>
      </c>
      <c r="Q74" t="str">
        <f t="shared" si="35"/>
        <v/>
      </c>
      <c r="R74" t="str">
        <f t="shared" si="36"/>
        <v/>
      </c>
      <c r="S74" t="str">
        <f t="shared" si="37"/>
        <v/>
      </c>
      <c r="T74" t="str">
        <f t="shared" si="38"/>
        <v/>
      </c>
      <c r="U74" t="str">
        <f>IF(L74="","",L74*DATA!B4)</f>
        <v/>
      </c>
      <c r="V74" t="str">
        <f>IF(M74="","",M74*DATA!C4)</f>
        <v/>
      </c>
      <c r="W74" t="str">
        <f>IF(N74="","",N74*DATA!D4)</f>
        <v/>
      </c>
      <c r="X74" t="str">
        <f>IF(O74="","",O74*DATA!E4)</f>
        <v/>
      </c>
      <c r="Y74" t="str">
        <f>IF(P74="","",P74*DATA!F4)</f>
        <v/>
      </c>
      <c r="Z74" t="str">
        <f>IF(Q74="","",Q74*DATA!G4)</f>
        <v/>
      </c>
      <c r="AA74" t="str">
        <f>IF(R74="","",R74*DATA!H4)</f>
        <v/>
      </c>
      <c r="AB74" t="str">
        <f>IF(S74="","",S74*DATA!I4)</f>
        <v/>
      </c>
      <c r="AC74" t="str">
        <f>IF(T74="","",T74*DATA!J4)</f>
        <v/>
      </c>
      <c r="AD74" t="str">
        <f>IF(U74="","",SQRT(SUMPRODUCT((U74:AC74-#REF!)^2)))</f>
        <v/>
      </c>
      <c r="AE74" t="str">
        <f>IF(U74="","",SQRT(SUMPRODUCT((U74:AC74-U114:AC114)^2)))</f>
        <v/>
      </c>
      <c r="AF74" t="str">
        <f t="shared" si="39"/>
        <v/>
      </c>
    </row>
    <row r="75" spans="1:32" hidden="1" outlineLevel="1">
      <c r="A75" t="str">
        <f>IF(DATA!A77="","",DATA!A77)</f>
        <v/>
      </c>
      <c r="B75" t="str">
        <f>IF(DATA!B77="","",DATA!B77)</f>
        <v/>
      </c>
      <c r="C75" t="str">
        <f>IF(DATA!C77="","",DATA!C77)</f>
        <v/>
      </c>
      <c r="D75" t="str">
        <f>IF(DATA!D77="","",DATA!D77)</f>
        <v/>
      </c>
      <c r="E75" t="str">
        <f>IF(DATA!E77="","",DATA!E77)</f>
        <v/>
      </c>
      <c r="F75" t="str">
        <f>IF(DATA!F77="","",DATA!F77)</f>
        <v/>
      </c>
      <c r="G75" t="str">
        <f>IF(DATA!G77="","",DATA!G77)</f>
        <v/>
      </c>
      <c r="H75" t="str">
        <f>IF(DATA!H77="","",DATA!H77)</f>
        <v/>
      </c>
      <c r="I75" t="str">
        <f>IF(DATA!I77="","",DATA!I77)</f>
        <v/>
      </c>
      <c r="J75" t="str">
        <f>IF(DATA!J77="","",DATA!J77)</f>
        <v/>
      </c>
      <c r="L75" t="str">
        <f t="shared" si="30"/>
        <v/>
      </c>
      <c r="M75" t="str">
        <f t="shared" si="31"/>
        <v/>
      </c>
      <c r="N75" t="str">
        <f t="shared" si="32"/>
        <v/>
      </c>
      <c r="O75" t="str">
        <f t="shared" si="33"/>
        <v/>
      </c>
      <c r="P75" t="str">
        <f t="shared" si="34"/>
        <v/>
      </c>
      <c r="Q75" t="str">
        <f t="shared" si="35"/>
        <v/>
      </c>
      <c r="R75" t="str">
        <f t="shared" si="36"/>
        <v/>
      </c>
      <c r="S75" t="str">
        <f t="shared" si="37"/>
        <v/>
      </c>
      <c r="T75" t="str">
        <f t="shared" si="38"/>
        <v/>
      </c>
      <c r="U75" t="str">
        <f>IF(L75="","",L75*DATA!B4)</f>
        <v/>
      </c>
      <c r="V75" t="str">
        <f>IF(M75="","",M75*DATA!C4)</f>
        <v/>
      </c>
      <c r="W75" t="str">
        <f>IF(N75="","",N75*DATA!D4)</f>
        <v/>
      </c>
      <c r="X75" t="str">
        <f>IF(O75="","",O75*DATA!E4)</f>
        <v/>
      </c>
      <c r="Y75" t="str">
        <f>IF(P75="","",P75*DATA!F4)</f>
        <v/>
      </c>
      <c r="Z75" t="str">
        <f>IF(Q75="","",Q75*DATA!G4)</f>
        <v/>
      </c>
      <c r="AA75" t="str">
        <f>IF(R75="","",R75*DATA!H4)</f>
        <v/>
      </c>
      <c r="AB75" t="str">
        <f>IF(S75="","",S75*DATA!I4)</f>
        <v/>
      </c>
      <c r="AC75" t="str">
        <f>IF(T75="","",T75*DATA!J4)</f>
        <v/>
      </c>
      <c r="AD75" t="str">
        <f>IF(U75="","",SQRT(SUMPRODUCT((U75:AC75-#REF!)^2)))</f>
        <v/>
      </c>
      <c r="AE75" t="str">
        <f>IF(U75="","",SQRT(SUMPRODUCT((U75:AC75-U114:AC114)^2)))</f>
        <v/>
      </c>
      <c r="AF75" t="str">
        <f t="shared" si="39"/>
        <v/>
      </c>
    </row>
    <row r="76" spans="1:32" hidden="1" outlineLevel="1">
      <c r="A76" t="str">
        <f>IF(DATA!A78="","",DATA!A78)</f>
        <v/>
      </c>
      <c r="B76" t="str">
        <f>IF(DATA!B78="","",DATA!B78)</f>
        <v/>
      </c>
      <c r="C76" t="str">
        <f>IF(DATA!C78="","",DATA!C78)</f>
        <v/>
      </c>
      <c r="D76" t="str">
        <f>IF(DATA!D78="","",DATA!D78)</f>
        <v/>
      </c>
      <c r="E76" t="str">
        <f>IF(DATA!E78="","",DATA!E78)</f>
        <v/>
      </c>
      <c r="F76" t="str">
        <f>IF(DATA!F78="","",DATA!F78)</f>
        <v/>
      </c>
      <c r="G76" t="str">
        <f>IF(DATA!G78="","",DATA!G78)</f>
        <v/>
      </c>
      <c r="H76" t="str">
        <f>IF(DATA!H78="","",DATA!H78)</f>
        <v/>
      </c>
      <c r="I76" t="str">
        <f>IF(DATA!I78="","",DATA!I78)</f>
        <v/>
      </c>
      <c r="J76" t="str">
        <f>IF(DATA!J78="","",DATA!J78)</f>
        <v/>
      </c>
      <c r="L76" t="str">
        <f t="shared" si="30"/>
        <v/>
      </c>
      <c r="M76" t="str">
        <f t="shared" si="31"/>
        <v/>
      </c>
      <c r="N76" t="str">
        <f t="shared" si="32"/>
        <v/>
      </c>
      <c r="O76" t="str">
        <f t="shared" si="33"/>
        <v/>
      </c>
      <c r="P76" t="str">
        <f t="shared" si="34"/>
        <v/>
      </c>
      <c r="Q76" t="str">
        <f t="shared" si="35"/>
        <v/>
      </c>
      <c r="R76" t="str">
        <f t="shared" si="36"/>
        <v/>
      </c>
      <c r="S76" t="str">
        <f t="shared" si="37"/>
        <v/>
      </c>
      <c r="T76" t="str">
        <f t="shared" si="38"/>
        <v/>
      </c>
      <c r="U76" t="str">
        <f>IF(L76="","",L76*DATA!B4)</f>
        <v/>
      </c>
      <c r="V76" t="str">
        <f>IF(M76="","",M76*DATA!C4)</f>
        <v/>
      </c>
      <c r="W76" t="str">
        <f>IF(N76="","",N76*DATA!D4)</f>
        <v/>
      </c>
      <c r="X76" t="str">
        <f>IF(O76="","",O76*DATA!E4)</f>
        <v/>
      </c>
      <c r="Y76" t="str">
        <f>IF(P76="","",P76*DATA!F4)</f>
        <v/>
      </c>
      <c r="Z76" t="str">
        <f>IF(Q76="","",Q76*DATA!G4)</f>
        <v/>
      </c>
      <c r="AA76" t="str">
        <f>IF(R76="","",R76*DATA!H4)</f>
        <v/>
      </c>
      <c r="AB76" t="str">
        <f>IF(S76="","",S76*DATA!I4)</f>
        <v/>
      </c>
      <c r="AC76" t="str">
        <f>IF(T76="","",T76*DATA!J4)</f>
        <v/>
      </c>
      <c r="AD76" t="str">
        <f>IF(U76="","",SQRT(SUMPRODUCT((U76:AC76-#REF!)^2)))</f>
        <v/>
      </c>
      <c r="AE76" t="str">
        <f>IF(U76="","",SQRT(SUMPRODUCT((U76:AC76-U114:AC114)^2)))</f>
        <v/>
      </c>
      <c r="AF76" t="str">
        <f t="shared" si="39"/>
        <v/>
      </c>
    </row>
    <row r="77" spans="1:32" hidden="1" outlineLevel="1">
      <c r="A77" t="str">
        <f>IF(DATA!A79="","",DATA!A79)</f>
        <v/>
      </c>
      <c r="B77" t="str">
        <f>IF(DATA!B79="","",DATA!B79)</f>
        <v/>
      </c>
      <c r="C77" t="str">
        <f>IF(DATA!C79="","",DATA!C79)</f>
        <v/>
      </c>
      <c r="D77" t="str">
        <f>IF(DATA!D79="","",DATA!D79)</f>
        <v/>
      </c>
      <c r="E77" t="str">
        <f>IF(DATA!E79="","",DATA!E79)</f>
        <v/>
      </c>
      <c r="F77" t="str">
        <f>IF(DATA!F79="","",DATA!F79)</f>
        <v/>
      </c>
      <c r="G77" t="str">
        <f>IF(DATA!G79="","",DATA!G79)</f>
        <v/>
      </c>
      <c r="H77" t="str">
        <f>IF(DATA!H79="","",DATA!H79)</f>
        <v/>
      </c>
      <c r="I77" t="str">
        <f>IF(DATA!I79="","",DATA!I79)</f>
        <v/>
      </c>
      <c r="J77" t="str">
        <f>IF(DATA!J79="","",DATA!J79)</f>
        <v/>
      </c>
      <c r="L77" t="str">
        <f t="shared" si="30"/>
        <v/>
      </c>
      <c r="M77" t="str">
        <f t="shared" si="31"/>
        <v/>
      </c>
      <c r="N77" t="str">
        <f t="shared" si="32"/>
        <v/>
      </c>
      <c r="O77" t="str">
        <f t="shared" si="33"/>
        <v/>
      </c>
      <c r="P77" t="str">
        <f t="shared" si="34"/>
        <v/>
      </c>
      <c r="Q77" t="str">
        <f t="shared" si="35"/>
        <v/>
      </c>
      <c r="R77" t="str">
        <f t="shared" si="36"/>
        <v/>
      </c>
      <c r="S77" t="str">
        <f t="shared" si="37"/>
        <v/>
      </c>
      <c r="T77" t="str">
        <f t="shared" si="38"/>
        <v/>
      </c>
      <c r="U77" t="str">
        <f>IF(L77="","",L77*DATA!B4)</f>
        <v/>
      </c>
      <c r="V77" t="str">
        <f>IF(M77="","",M77*DATA!C4)</f>
        <v/>
      </c>
      <c r="W77" t="str">
        <f>IF(N77="","",N77*DATA!D4)</f>
        <v/>
      </c>
      <c r="X77" t="str">
        <f>IF(O77="","",O77*DATA!E4)</f>
        <v/>
      </c>
      <c r="Y77" t="str">
        <f>IF(P77="","",P77*DATA!F4)</f>
        <v/>
      </c>
      <c r="Z77" t="str">
        <f>IF(Q77="","",Q77*DATA!G4)</f>
        <v/>
      </c>
      <c r="AA77" t="str">
        <f>IF(R77="","",R77*DATA!H4)</f>
        <v/>
      </c>
      <c r="AB77" t="str">
        <f>IF(S77="","",S77*DATA!I4)</f>
        <v/>
      </c>
      <c r="AC77" t="str">
        <f>IF(T77="","",T77*DATA!J4)</f>
        <v/>
      </c>
      <c r="AD77" t="str">
        <f>IF(U77="","",SQRT(SUMPRODUCT((U77:AC77-#REF!)^2)))</f>
        <v/>
      </c>
      <c r="AE77" t="str">
        <f>IF(U77="","",SQRT(SUMPRODUCT((U77:AC77-U114:AC114)^2)))</f>
        <v/>
      </c>
      <c r="AF77" t="str">
        <f t="shared" si="39"/>
        <v/>
      </c>
    </row>
    <row r="78" spans="1:32" hidden="1" outlineLevel="1">
      <c r="A78" t="str">
        <f>IF(DATA!A80="","",DATA!A80)</f>
        <v/>
      </c>
      <c r="B78" t="str">
        <f>IF(DATA!B80="","",DATA!B80)</f>
        <v/>
      </c>
      <c r="C78" t="str">
        <f>IF(DATA!C80="","",DATA!C80)</f>
        <v/>
      </c>
      <c r="D78" t="str">
        <f>IF(DATA!D80="","",DATA!D80)</f>
        <v/>
      </c>
      <c r="E78" t="str">
        <f>IF(DATA!E80="","",DATA!E80)</f>
        <v/>
      </c>
      <c r="F78" t="str">
        <f>IF(DATA!F80="","",DATA!F80)</f>
        <v/>
      </c>
      <c r="G78" t="str">
        <f>IF(DATA!G80="","",DATA!G80)</f>
        <v/>
      </c>
      <c r="H78" t="str">
        <f>IF(DATA!H80="","",DATA!H80)</f>
        <v/>
      </c>
      <c r="I78" t="str">
        <f>IF(DATA!I80="","",DATA!I80)</f>
        <v/>
      </c>
      <c r="J78" t="str">
        <f>IF(DATA!J80="","",DATA!J80)</f>
        <v/>
      </c>
      <c r="L78" t="str">
        <f t="shared" si="30"/>
        <v/>
      </c>
      <c r="M78" t="str">
        <f t="shared" si="31"/>
        <v/>
      </c>
      <c r="N78" t="str">
        <f t="shared" si="32"/>
        <v/>
      </c>
      <c r="O78" t="str">
        <f t="shared" si="33"/>
        <v/>
      </c>
      <c r="P78" t="str">
        <f t="shared" si="34"/>
        <v/>
      </c>
      <c r="Q78" t="str">
        <f t="shared" si="35"/>
        <v/>
      </c>
      <c r="R78" t="str">
        <f t="shared" si="36"/>
        <v/>
      </c>
      <c r="S78" t="str">
        <f t="shared" si="37"/>
        <v/>
      </c>
      <c r="T78" t="str">
        <f t="shared" si="38"/>
        <v/>
      </c>
      <c r="U78" t="str">
        <f>IF(L78="","",L78*DATA!B4)</f>
        <v/>
      </c>
      <c r="V78" t="str">
        <f>IF(M78="","",M78*DATA!C4)</f>
        <v/>
      </c>
      <c r="W78" t="str">
        <f>IF(N78="","",N78*DATA!D4)</f>
        <v/>
      </c>
      <c r="X78" t="str">
        <f>IF(O78="","",O78*DATA!E4)</f>
        <v/>
      </c>
      <c r="Y78" t="str">
        <f>IF(P78="","",P78*DATA!F4)</f>
        <v/>
      </c>
      <c r="Z78" t="str">
        <f>IF(Q78="","",Q78*DATA!G4)</f>
        <v/>
      </c>
      <c r="AA78" t="str">
        <f>IF(R78="","",R78*DATA!H4)</f>
        <v/>
      </c>
      <c r="AB78" t="str">
        <f>IF(S78="","",S78*DATA!I4)</f>
        <v/>
      </c>
      <c r="AC78" t="str">
        <f>IF(T78="","",T78*DATA!J4)</f>
        <v/>
      </c>
      <c r="AD78" t="str">
        <f>IF(U78="","",SQRT(SUMPRODUCT((U78:AC78-#REF!)^2)))</f>
        <v/>
      </c>
      <c r="AE78" t="str">
        <f>IF(U78="","",SQRT(SUMPRODUCT((U78:AC78-U114:AC114)^2)))</f>
        <v/>
      </c>
      <c r="AF78" t="str">
        <f t="shared" si="39"/>
        <v/>
      </c>
    </row>
    <row r="79" spans="1:32" hidden="1" outlineLevel="1">
      <c r="A79" t="str">
        <f>IF(DATA!A81="","",DATA!A81)</f>
        <v/>
      </c>
      <c r="B79" t="str">
        <f>IF(DATA!B81="","",DATA!B81)</f>
        <v/>
      </c>
      <c r="C79" t="str">
        <f>IF(DATA!C81="","",DATA!C81)</f>
        <v/>
      </c>
      <c r="D79" t="str">
        <f>IF(DATA!D81="","",DATA!D81)</f>
        <v/>
      </c>
      <c r="E79" t="str">
        <f>IF(DATA!E81="","",DATA!E81)</f>
        <v/>
      </c>
      <c r="F79" t="str">
        <f>IF(DATA!F81="","",DATA!F81)</f>
        <v/>
      </c>
      <c r="G79" t="str">
        <f>IF(DATA!G81="","",DATA!G81)</f>
        <v/>
      </c>
      <c r="H79" t="str">
        <f>IF(DATA!H81="","",DATA!H81)</f>
        <v/>
      </c>
      <c r="I79" t="str">
        <f>IF(DATA!I81="","",DATA!I81)</f>
        <v/>
      </c>
      <c r="J79" t="str">
        <f>IF(DATA!J81="","",DATA!J81)</f>
        <v/>
      </c>
      <c r="L79" t="str">
        <f t="shared" si="30"/>
        <v/>
      </c>
      <c r="M79" t="str">
        <f t="shared" si="31"/>
        <v/>
      </c>
      <c r="N79" t="str">
        <f t="shared" si="32"/>
        <v/>
      </c>
      <c r="O79" t="str">
        <f t="shared" si="33"/>
        <v/>
      </c>
      <c r="P79" t="str">
        <f t="shared" si="34"/>
        <v/>
      </c>
      <c r="Q79" t="str">
        <f t="shared" si="35"/>
        <v/>
      </c>
      <c r="R79" t="str">
        <f t="shared" si="36"/>
        <v/>
      </c>
      <c r="S79" t="str">
        <f t="shared" si="37"/>
        <v/>
      </c>
      <c r="T79" t="str">
        <f t="shared" si="38"/>
        <v/>
      </c>
      <c r="U79" t="str">
        <f>IF(L79="","",L79*DATA!B4)</f>
        <v/>
      </c>
      <c r="V79" t="str">
        <f>IF(M79="","",M79*DATA!C4)</f>
        <v/>
      </c>
      <c r="W79" t="str">
        <f>IF(N79="","",N79*DATA!D4)</f>
        <v/>
      </c>
      <c r="X79" t="str">
        <f>IF(O79="","",O79*DATA!E4)</f>
        <v/>
      </c>
      <c r="Y79" t="str">
        <f>IF(P79="","",P79*DATA!F4)</f>
        <v/>
      </c>
      <c r="Z79" t="str">
        <f>IF(Q79="","",Q79*DATA!G4)</f>
        <v/>
      </c>
      <c r="AA79" t="str">
        <f>IF(R79="","",R79*DATA!H4)</f>
        <v/>
      </c>
      <c r="AB79" t="str">
        <f>IF(S79="","",S79*DATA!I4)</f>
        <v/>
      </c>
      <c r="AC79" t="str">
        <f>IF(T79="","",T79*DATA!J4)</f>
        <v/>
      </c>
      <c r="AD79" t="str">
        <f>IF(U79="","",SQRT(SUMPRODUCT((U79:AC79-#REF!)^2)))</f>
        <v/>
      </c>
      <c r="AE79" t="str">
        <f>IF(U79="","",SQRT(SUMPRODUCT((U79:AC79-U114:AC114)^2)))</f>
        <v/>
      </c>
      <c r="AF79" t="str">
        <f t="shared" si="39"/>
        <v/>
      </c>
    </row>
    <row r="80" spans="1:32" hidden="1" outlineLevel="1">
      <c r="A80" t="str">
        <f>IF(DATA!A82="","",DATA!A82)</f>
        <v/>
      </c>
      <c r="B80" t="str">
        <f>IF(DATA!B82="","",DATA!B82)</f>
        <v/>
      </c>
      <c r="C80" t="str">
        <f>IF(DATA!C82="","",DATA!C82)</f>
        <v/>
      </c>
      <c r="D80" t="str">
        <f>IF(DATA!D82="","",DATA!D82)</f>
        <v/>
      </c>
      <c r="E80" t="str">
        <f>IF(DATA!E82="","",DATA!E82)</f>
        <v/>
      </c>
      <c r="F80" t="str">
        <f>IF(DATA!F82="","",DATA!F82)</f>
        <v/>
      </c>
      <c r="G80" t="str">
        <f>IF(DATA!G82="","",DATA!G82)</f>
        <v/>
      </c>
      <c r="H80" t="str">
        <f>IF(DATA!H82="","",DATA!H82)</f>
        <v/>
      </c>
      <c r="I80" t="str">
        <f>IF(DATA!I82="","",DATA!I82)</f>
        <v/>
      </c>
      <c r="J80" t="str">
        <f>IF(DATA!J82="","",DATA!J82)</f>
        <v/>
      </c>
      <c r="L80" t="str">
        <f t="shared" si="30"/>
        <v/>
      </c>
      <c r="M80" t="str">
        <f t="shared" si="31"/>
        <v/>
      </c>
      <c r="N80" t="str">
        <f t="shared" si="32"/>
        <v/>
      </c>
      <c r="O80" t="str">
        <f t="shared" si="33"/>
        <v/>
      </c>
      <c r="P80" t="str">
        <f t="shared" si="34"/>
        <v/>
      </c>
      <c r="Q80" t="str">
        <f t="shared" si="35"/>
        <v/>
      </c>
      <c r="R80" t="str">
        <f t="shared" si="36"/>
        <v/>
      </c>
      <c r="S80" t="str">
        <f t="shared" si="37"/>
        <v/>
      </c>
      <c r="T80" t="str">
        <f t="shared" si="38"/>
        <v/>
      </c>
      <c r="U80" t="str">
        <f>IF(L80="","",L80*DATA!B4)</f>
        <v/>
      </c>
      <c r="V80" t="str">
        <f>IF(M80="","",M80*DATA!C4)</f>
        <v/>
      </c>
      <c r="W80" t="str">
        <f>IF(N80="","",N80*DATA!D4)</f>
        <v/>
      </c>
      <c r="X80" t="str">
        <f>IF(O80="","",O80*DATA!E4)</f>
        <v/>
      </c>
      <c r="Y80" t="str">
        <f>IF(P80="","",P80*DATA!F4)</f>
        <v/>
      </c>
      <c r="Z80" t="str">
        <f>IF(Q80="","",Q80*DATA!G4)</f>
        <v/>
      </c>
      <c r="AA80" t="str">
        <f>IF(R80="","",R80*DATA!H4)</f>
        <v/>
      </c>
      <c r="AB80" t="str">
        <f>IF(S80="","",S80*DATA!I4)</f>
        <v/>
      </c>
      <c r="AC80" t="str">
        <f>IF(T80="","",T80*DATA!J4)</f>
        <v/>
      </c>
      <c r="AD80" t="str">
        <f>IF(U80="","",SQRT(SUMPRODUCT((U80:AC80-#REF!)^2)))</f>
        <v/>
      </c>
      <c r="AE80" t="str">
        <f>IF(U80="","",SQRT(SUMPRODUCT((U80:AC80-U114:AC114)^2)))</f>
        <v/>
      </c>
      <c r="AF80" t="str">
        <f t="shared" si="39"/>
        <v/>
      </c>
    </row>
    <row r="81" spans="1:32" hidden="1" outlineLevel="1">
      <c r="A81" t="str">
        <f>IF(DATA!A83="","",DATA!A83)</f>
        <v/>
      </c>
      <c r="B81" t="str">
        <f>IF(DATA!B83="","",DATA!B83)</f>
        <v/>
      </c>
      <c r="C81" t="str">
        <f>IF(DATA!C83="","",DATA!C83)</f>
        <v/>
      </c>
      <c r="D81" t="str">
        <f>IF(DATA!D83="","",DATA!D83)</f>
        <v/>
      </c>
      <c r="E81" t="str">
        <f>IF(DATA!E83="","",DATA!E83)</f>
        <v/>
      </c>
      <c r="F81" t="str">
        <f>IF(DATA!F83="","",DATA!F83)</f>
        <v/>
      </c>
      <c r="G81" t="str">
        <f>IF(DATA!G83="","",DATA!G83)</f>
        <v/>
      </c>
      <c r="H81" t="str">
        <f>IF(DATA!H83="","",DATA!H83)</f>
        <v/>
      </c>
      <c r="I81" t="str">
        <f>IF(DATA!I83="","",DATA!I83)</f>
        <v/>
      </c>
      <c r="J81" t="str">
        <f>IF(DATA!J83="","",DATA!J83)</f>
        <v/>
      </c>
      <c r="L81" t="str">
        <f t="shared" si="30"/>
        <v/>
      </c>
      <c r="M81" t="str">
        <f t="shared" si="31"/>
        <v/>
      </c>
      <c r="N81" t="str">
        <f t="shared" si="32"/>
        <v/>
      </c>
      <c r="O81" t="str">
        <f t="shared" si="33"/>
        <v/>
      </c>
      <c r="P81" t="str">
        <f t="shared" si="34"/>
        <v/>
      </c>
      <c r="Q81" t="str">
        <f t="shared" si="35"/>
        <v/>
      </c>
      <c r="R81" t="str">
        <f t="shared" si="36"/>
        <v/>
      </c>
      <c r="S81" t="str">
        <f t="shared" si="37"/>
        <v/>
      </c>
      <c r="T81" t="str">
        <f t="shared" si="38"/>
        <v/>
      </c>
      <c r="U81" t="str">
        <f>IF(L81="","",L81*DATA!B4)</f>
        <v/>
      </c>
      <c r="V81" t="str">
        <f>IF(M81="","",M81*DATA!C4)</f>
        <v/>
      </c>
      <c r="W81" t="str">
        <f>IF(N81="","",N81*DATA!D4)</f>
        <v/>
      </c>
      <c r="X81" t="str">
        <f>IF(O81="","",O81*DATA!E4)</f>
        <v/>
      </c>
      <c r="Y81" t="str">
        <f>IF(P81="","",P81*DATA!F4)</f>
        <v/>
      </c>
      <c r="Z81" t="str">
        <f>IF(Q81="","",Q81*DATA!G4)</f>
        <v/>
      </c>
      <c r="AA81" t="str">
        <f>IF(R81="","",R81*DATA!H4)</f>
        <v/>
      </c>
      <c r="AB81" t="str">
        <f>IF(S81="","",S81*DATA!I4)</f>
        <v/>
      </c>
      <c r="AC81" t="str">
        <f>IF(T81="","",T81*DATA!J4)</f>
        <v/>
      </c>
      <c r="AD81" t="str">
        <f>IF(U81="","",SQRT(SUMPRODUCT((U81:AC81-#REF!)^2)))</f>
        <v/>
      </c>
      <c r="AE81" t="str">
        <f>IF(U81="","",SQRT(SUMPRODUCT((U81:AC81-U114:AC114)^2)))</f>
        <v/>
      </c>
      <c r="AF81" t="str">
        <f t="shared" si="39"/>
        <v/>
      </c>
    </row>
    <row r="82" spans="1:32" hidden="1" outlineLevel="1">
      <c r="A82" t="str">
        <f>IF(DATA!A84="","",DATA!A84)</f>
        <v/>
      </c>
      <c r="B82" t="str">
        <f>IF(DATA!B84="","",DATA!B84)</f>
        <v/>
      </c>
      <c r="C82" t="str">
        <f>IF(DATA!C84="","",DATA!C84)</f>
        <v/>
      </c>
      <c r="D82" t="str">
        <f>IF(DATA!D84="","",DATA!D84)</f>
        <v/>
      </c>
      <c r="E82" t="str">
        <f>IF(DATA!E84="","",DATA!E84)</f>
        <v/>
      </c>
      <c r="F82" t="str">
        <f>IF(DATA!F84="","",DATA!F84)</f>
        <v/>
      </c>
      <c r="G82" t="str">
        <f>IF(DATA!G84="","",DATA!G84)</f>
        <v/>
      </c>
      <c r="H82" t="str">
        <f>IF(DATA!H84="","",DATA!H84)</f>
        <v/>
      </c>
      <c r="I82" t="str">
        <f>IF(DATA!I84="","",DATA!I84)</f>
        <v/>
      </c>
      <c r="J82" t="str">
        <f>IF(DATA!J84="","",DATA!J84)</f>
        <v/>
      </c>
      <c r="L82" t="str">
        <f t="shared" si="30"/>
        <v/>
      </c>
      <c r="M82" t="str">
        <f t="shared" si="31"/>
        <v/>
      </c>
      <c r="N82" t="str">
        <f t="shared" si="32"/>
        <v/>
      </c>
      <c r="O82" t="str">
        <f t="shared" si="33"/>
        <v/>
      </c>
      <c r="P82" t="str">
        <f t="shared" si="34"/>
        <v/>
      </c>
      <c r="Q82" t="str">
        <f t="shared" si="35"/>
        <v/>
      </c>
      <c r="R82" t="str">
        <f t="shared" si="36"/>
        <v/>
      </c>
      <c r="S82" t="str">
        <f t="shared" si="37"/>
        <v/>
      </c>
      <c r="T82" t="str">
        <f t="shared" si="38"/>
        <v/>
      </c>
      <c r="U82" t="str">
        <f>IF(L82="","",L82*DATA!B4)</f>
        <v/>
      </c>
      <c r="V82" t="str">
        <f>IF(M82="","",M82*DATA!C4)</f>
        <v/>
      </c>
      <c r="W82" t="str">
        <f>IF(N82="","",N82*DATA!D4)</f>
        <v/>
      </c>
      <c r="X82" t="str">
        <f>IF(O82="","",O82*DATA!E4)</f>
        <v/>
      </c>
      <c r="Y82" t="str">
        <f>IF(P82="","",P82*DATA!F4)</f>
        <v/>
      </c>
      <c r="Z82" t="str">
        <f>IF(Q82="","",Q82*DATA!G4)</f>
        <v/>
      </c>
      <c r="AA82" t="str">
        <f>IF(R82="","",R82*DATA!H4)</f>
        <v/>
      </c>
      <c r="AB82" t="str">
        <f>IF(S82="","",S82*DATA!I4)</f>
        <v/>
      </c>
      <c r="AC82" t="str">
        <f>IF(T82="","",T82*DATA!J4)</f>
        <v/>
      </c>
      <c r="AD82" t="str">
        <f>IF(U82="","",SQRT(SUMPRODUCT((U82:AC82-#REF!)^2)))</f>
        <v/>
      </c>
      <c r="AE82" t="str">
        <f>IF(U82="","",SQRT(SUMPRODUCT((U82:AC82-U114:AC114)^2)))</f>
        <v/>
      </c>
      <c r="AF82" t="str">
        <f t="shared" si="39"/>
        <v/>
      </c>
    </row>
    <row r="83" spans="1:32" hidden="1" outlineLevel="1">
      <c r="A83" t="str">
        <f>IF(DATA!A85="","",DATA!A85)</f>
        <v/>
      </c>
      <c r="B83" t="str">
        <f>IF(DATA!B85="","",DATA!B85)</f>
        <v/>
      </c>
      <c r="C83" t="str">
        <f>IF(DATA!C85="","",DATA!C85)</f>
        <v/>
      </c>
      <c r="D83" t="str">
        <f>IF(DATA!D85="","",DATA!D85)</f>
        <v/>
      </c>
      <c r="E83" t="str">
        <f>IF(DATA!E85="","",DATA!E85)</f>
        <v/>
      </c>
      <c r="F83" t="str">
        <f>IF(DATA!F85="","",DATA!F85)</f>
        <v/>
      </c>
      <c r="G83" t="str">
        <f>IF(DATA!G85="","",DATA!G85)</f>
        <v/>
      </c>
      <c r="H83" t="str">
        <f>IF(DATA!H85="","",DATA!H85)</f>
        <v/>
      </c>
      <c r="I83" t="str">
        <f>IF(DATA!I85="","",DATA!I85)</f>
        <v/>
      </c>
      <c r="J83" t="str">
        <f>IF(DATA!J85="","",DATA!J85)</f>
        <v/>
      </c>
      <c r="L83" t="str">
        <f t="shared" si="30"/>
        <v/>
      </c>
      <c r="M83" t="str">
        <f t="shared" si="31"/>
        <v/>
      </c>
      <c r="N83" t="str">
        <f t="shared" si="32"/>
        <v/>
      </c>
      <c r="O83" t="str">
        <f t="shared" si="33"/>
        <v/>
      </c>
      <c r="P83" t="str">
        <f t="shared" si="34"/>
        <v/>
      </c>
      <c r="Q83" t="str">
        <f t="shared" si="35"/>
        <v/>
      </c>
      <c r="R83" t="str">
        <f t="shared" si="36"/>
        <v/>
      </c>
      <c r="S83" t="str">
        <f t="shared" si="37"/>
        <v/>
      </c>
      <c r="T83" t="str">
        <f t="shared" si="38"/>
        <v/>
      </c>
      <c r="U83" t="str">
        <f>IF(L83="","",L83*DATA!B4)</f>
        <v/>
      </c>
      <c r="V83" t="str">
        <f>IF(M83="","",M83*DATA!C4)</f>
        <v/>
      </c>
      <c r="W83" t="str">
        <f>IF(N83="","",N83*DATA!D4)</f>
        <v/>
      </c>
      <c r="X83" t="str">
        <f>IF(O83="","",O83*DATA!E4)</f>
        <v/>
      </c>
      <c r="Y83" t="str">
        <f>IF(P83="","",P83*DATA!F4)</f>
        <v/>
      </c>
      <c r="Z83" t="str">
        <f>IF(Q83="","",Q83*DATA!G4)</f>
        <v/>
      </c>
      <c r="AA83" t="str">
        <f>IF(R83="","",R83*DATA!H4)</f>
        <v/>
      </c>
      <c r="AB83" t="str">
        <f>IF(S83="","",S83*DATA!I4)</f>
        <v/>
      </c>
      <c r="AC83" t="str">
        <f>IF(T83="","",T83*DATA!J4)</f>
        <v/>
      </c>
      <c r="AD83" t="str">
        <f>IF(U83="","",SQRT(SUMPRODUCT((U83:AC83-#REF!)^2)))</f>
        <v/>
      </c>
      <c r="AE83" t="str">
        <f>IF(U83="","",SQRT(SUMPRODUCT((U83:AC83-U114:AC114)^2)))</f>
        <v/>
      </c>
      <c r="AF83" t="str">
        <f t="shared" si="39"/>
        <v/>
      </c>
    </row>
    <row r="84" spans="1:32" hidden="1" outlineLevel="1">
      <c r="A84" t="str">
        <f>IF(DATA!A86="","",DATA!A86)</f>
        <v/>
      </c>
      <c r="B84" t="str">
        <f>IF(DATA!B86="","",DATA!B86)</f>
        <v/>
      </c>
      <c r="C84" t="str">
        <f>IF(DATA!C86="","",DATA!C86)</f>
        <v/>
      </c>
      <c r="D84" t="str">
        <f>IF(DATA!D86="","",DATA!D86)</f>
        <v/>
      </c>
      <c r="E84" t="str">
        <f>IF(DATA!E86="","",DATA!E86)</f>
        <v/>
      </c>
      <c r="F84" t="str">
        <f>IF(DATA!F86="","",DATA!F86)</f>
        <v/>
      </c>
      <c r="G84" t="str">
        <f>IF(DATA!G86="","",DATA!G86)</f>
        <v/>
      </c>
      <c r="H84" t="str">
        <f>IF(DATA!H86="","",DATA!H86)</f>
        <v/>
      </c>
      <c r="I84" t="str">
        <f>IF(DATA!I86="","",DATA!I86)</f>
        <v/>
      </c>
      <c r="J84" t="str">
        <f>IF(DATA!J86="","",DATA!J86)</f>
        <v/>
      </c>
      <c r="L84" t="str">
        <f t="shared" si="30"/>
        <v/>
      </c>
      <c r="M84" t="str">
        <f t="shared" si="31"/>
        <v/>
      </c>
      <c r="N84" t="str">
        <f t="shared" si="32"/>
        <v/>
      </c>
      <c r="O84" t="str">
        <f t="shared" si="33"/>
        <v/>
      </c>
      <c r="P84" t="str">
        <f t="shared" si="34"/>
        <v/>
      </c>
      <c r="Q84" t="str">
        <f t="shared" si="35"/>
        <v/>
      </c>
      <c r="R84" t="str">
        <f t="shared" si="36"/>
        <v/>
      </c>
      <c r="S84" t="str">
        <f t="shared" si="37"/>
        <v/>
      </c>
      <c r="T84" t="str">
        <f t="shared" si="38"/>
        <v/>
      </c>
      <c r="U84" t="str">
        <f>IF(L84="","",L84*DATA!B4)</f>
        <v/>
      </c>
      <c r="V84" t="str">
        <f>IF(M84="","",M84*DATA!C4)</f>
        <v/>
      </c>
      <c r="W84" t="str">
        <f>IF(N84="","",N84*DATA!D4)</f>
        <v/>
      </c>
      <c r="X84" t="str">
        <f>IF(O84="","",O84*DATA!E4)</f>
        <v/>
      </c>
      <c r="Y84" t="str">
        <f>IF(P84="","",P84*DATA!F4)</f>
        <v/>
      </c>
      <c r="Z84" t="str">
        <f>IF(Q84="","",Q84*DATA!G4)</f>
        <v/>
      </c>
      <c r="AA84" t="str">
        <f>IF(R84="","",R84*DATA!H4)</f>
        <v/>
      </c>
      <c r="AB84" t="str">
        <f>IF(S84="","",S84*DATA!I4)</f>
        <v/>
      </c>
      <c r="AC84" t="str">
        <f>IF(T84="","",T84*DATA!J4)</f>
        <v/>
      </c>
      <c r="AD84" t="str">
        <f>IF(U84="","",SQRT(SUMPRODUCT((U84:AC84-#REF!)^2)))</f>
        <v/>
      </c>
      <c r="AE84" t="str">
        <f>IF(U84="","",SQRT(SUMPRODUCT((U84:AC84-U114:AC114)^2)))</f>
        <v/>
      </c>
      <c r="AF84" t="str">
        <f t="shared" si="39"/>
        <v/>
      </c>
    </row>
    <row r="85" spans="1:32" hidden="1" outlineLevel="1">
      <c r="A85" t="str">
        <f>IF(DATA!A87="","",DATA!A87)</f>
        <v/>
      </c>
      <c r="B85" t="str">
        <f>IF(DATA!B87="","",DATA!B87)</f>
        <v/>
      </c>
      <c r="C85" t="str">
        <f>IF(DATA!C87="","",DATA!C87)</f>
        <v/>
      </c>
      <c r="D85" t="str">
        <f>IF(DATA!D87="","",DATA!D87)</f>
        <v/>
      </c>
      <c r="E85" t="str">
        <f>IF(DATA!E87="","",DATA!E87)</f>
        <v/>
      </c>
      <c r="F85" t="str">
        <f>IF(DATA!F87="","",DATA!F87)</f>
        <v/>
      </c>
      <c r="G85" t="str">
        <f>IF(DATA!G87="","",DATA!G87)</f>
        <v/>
      </c>
      <c r="H85" t="str">
        <f>IF(DATA!H87="","",DATA!H87)</f>
        <v/>
      </c>
      <c r="I85" t="str">
        <f>IF(DATA!I87="","",DATA!I87)</f>
        <v/>
      </c>
      <c r="J85" t="str">
        <f>IF(DATA!J87="","",DATA!J87)</f>
        <v/>
      </c>
      <c r="L85" t="str">
        <f t="shared" si="30"/>
        <v/>
      </c>
      <c r="M85" t="str">
        <f t="shared" si="31"/>
        <v/>
      </c>
      <c r="N85" t="str">
        <f t="shared" si="32"/>
        <v/>
      </c>
      <c r="O85" t="str">
        <f t="shared" si="33"/>
        <v/>
      </c>
      <c r="P85" t="str">
        <f t="shared" si="34"/>
        <v/>
      </c>
      <c r="Q85" t="str">
        <f t="shared" si="35"/>
        <v/>
      </c>
      <c r="R85" t="str">
        <f t="shared" si="36"/>
        <v/>
      </c>
      <c r="S85" t="str">
        <f t="shared" si="37"/>
        <v/>
      </c>
      <c r="T85" t="str">
        <f t="shared" si="38"/>
        <v/>
      </c>
      <c r="U85" t="str">
        <f>IF(L85="","",L85*DATA!B4)</f>
        <v/>
      </c>
      <c r="V85" t="str">
        <f>IF(M85="","",M85*DATA!C4)</f>
        <v/>
      </c>
      <c r="W85" t="str">
        <f>IF(N85="","",N85*DATA!D4)</f>
        <v/>
      </c>
      <c r="X85" t="str">
        <f>IF(O85="","",O85*DATA!E4)</f>
        <v/>
      </c>
      <c r="Y85" t="str">
        <f>IF(P85="","",P85*DATA!F4)</f>
        <v/>
      </c>
      <c r="Z85" t="str">
        <f>IF(Q85="","",Q85*DATA!G4)</f>
        <v/>
      </c>
      <c r="AA85" t="str">
        <f>IF(R85="","",R85*DATA!H4)</f>
        <v/>
      </c>
      <c r="AB85" t="str">
        <f>IF(S85="","",S85*DATA!I4)</f>
        <v/>
      </c>
      <c r="AC85" t="str">
        <f>IF(T85="","",T85*DATA!J4)</f>
        <v/>
      </c>
      <c r="AD85" t="str">
        <f>IF(U85="","",SQRT(SUMPRODUCT((U85:AC85-#REF!)^2)))</f>
        <v/>
      </c>
      <c r="AE85" t="str">
        <f>IF(U85="","",SQRT(SUMPRODUCT((U85:AC85-U114:AC114)^2)))</f>
        <v/>
      </c>
      <c r="AF85" t="str">
        <f t="shared" si="39"/>
        <v/>
      </c>
    </row>
    <row r="86" spans="1:32" hidden="1" outlineLevel="1">
      <c r="A86" t="str">
        <f>IF(DATA!A88="","",DATA!A88)</f>
        <v/>
      </c>
      <c r="B86" t="str">
        <f>IF(DATA!B88="","",DATA!B88)</f>
        <v/>
      </c>
      <c r="C86" t="str">
        <f>IF(DATA!C88="","",DATA!C88)</f>
        <v/>
      </c>
      <c r="D86" t="str">
        <f>IF(DATA!D88="","",DATA!D88)</f>
        <v/>
      </c>
      <c r="E86" t="str">
        <f>IF(DATA!E88="","",DATA!E88)</f>
        <v/>
      </c>
      <c r="F86" t="str">
        <f>IF(DATA!F88="","",DATA!F88)</f>
        <v/>
      </c>
      <c r="G86" t="str">
        <f>IF(DATA!G88="","",DATA!G88)</f>
        <v/>
      </c>
      <c r="H86" t="str">
        <f>IF(DATA!H88="","",DATA!H88)</f>
        <v/>
      </c>
      <c r="I86" t="str">
        <f>IF(DATA!I88="","",DATA!I88)</f>
        <v/>
      </c>
      <c r="J86" t="str">
        <f>IF(DATA!J88="","",DATA!J88)</f>
        <v/>
      </c>
      <c r="L86" t="str">
        <f t="shared" si="30"/>
        <v/>
      </c>
      <c r="M86" t="str">
        <f t="shared" si="31"/>
        <v/>
      </c>
      <c r="N86" t="str">
        <f t="shared" si="32"/>
        <v/>
      </c>
      <c r="O86" t="str">
        <f t="shared" si="33"/>
        <v/>
      </c>
      <c r="P86" t="str">
        <f t="shared" si="34"/>
        <v/>
      </c>
      <c r="Q86" t="str">
        <f t="shared" si="35"/>
        <v/>
      </c>
      <c r="R86" t="str">
        <f t="shared" si="36"/>
        <v/>
      </c>
      <c r="S86" t="str">
        <f t="shared" si="37"/>
        <v/>
      </c>
      <c r="T86" t="str">
        <f t="shared" si="38"/>
        <v/>
      </c>
      <c r="U86" t="str">
        <f>IF(L86="","",L86*DATA!B4)</f>
        <v/>
      </c>
      <c r="V86" t="str">
        <f>IF(M86="","",M86*DATA!C4)</f>
        <v/>
      </c>
      <c r="W86" t="str">
        <f>IF(N86="","",N86*DATA!D4)</f>
        <v/>
      </c>
      <c r="X86" t="str">
        <f>IF(O86="","",O86*DATA!E4)</f>
        <v/>
      </c>
      <c r="Y86" t="str">
        <f>IF(P86="","",P86*DATA!F4)</f>
        <v/>
      </c>
      <c r="Z86" t="str">
        <f>IF(Q86="","",Q86*DATA!G4)</f>
        <v/>
      </c>
      <c r="AA86" t="str">
        <f>IF(R86="","",R86*DATA!H4)</f>
        <v/>
      </c>
      <c r="AB86" t="str">
        <f>IF(S86="","",S86*DATA!I4)</f>
        <v/>
      </c>
      <c r="AC86" t="str">
        <f>IF(T86="","",T86*DATA!J4)</f>
        <v/>
      </c>
      <c r="AD86" t="str">
        <f>IF(U86="","",SQRT(SUMPRODUCT((U86:AC86-#REF!)^2)))</f>
        <v/>
      </c>
      <c r="AE86" t="str">
        <f>IF(U86="","",SQRT(SUMPRODUCT((U86:AC86-U114:AC114)^2)))</f>
        <v/>
      </c>
      <c r="AF86" t="str">
        <f t="shared" si="39"/>
        <v/>
      </c>
    </row>
    <row r="87" spans="1:32" hidden="1" outlineLevel="1">
      <c r="A87" t="str">
        <f>IF(DATA!A89="","",DATA!A89)</f>
        <v/>
      </c>
      <c r="B87" t="str">
        <f>IF(DATA!B89="","",DATA!B89)</f>
        <v/>
      </c>
      <c r="C87" t="str">
        <f>IF(DATA!C89="","",DATA!C89)</f>
        <v/>
      </c>
      <c r="D87" t="str">
        <f>IF(DATA!D89="","",DATA!D89)</f>
        <v/>
      </c>
      <c r="E87" t="str">
        <f>IF(DATA!E89="","",DATA!E89)</f>
        <v/>
      </c>
      <c r="F87" t="str">
        <f>IF(DATA!F89="","",DATA!F89)</f>
        <v/>
      </c>
      <c r="G87" t="str">
        <f>IF(DATA!G89="","",DATA!G89)</f>
        <v/>
      </c>
      <c r="H87" t="str">
        <f>IF(DATA!H89="","",DATA!H89)</f>
        <v/>
      </c>
      <c r="I87" t="str">
        <f>IF(DATA!I89="","",DATA!I89)</f>
        <v/>
      </c>
      <c r="J87" t="str">
        <f>IF(DATA!J89="","",DATA!J89)</f>
        <v/>
      </c>
      <c r="L87" t="str">
        <f t="shared" si="30"/>
        <v/>
      </c>
      <c r="M87" t="str">
        <f t="shared" si="31"/>
        <v/>
      </c>
      <c r="N87" t="str">
        <f t="shared" si="32"/>
        <v/>
      </c>
      <c r="O87" t="str">
        <f t="shared" si="33"/>
        <v/>
      </c>
      <c r="P87" t="str">
        <f t="shared" si="34"/>
        <v/>
      </c>
      <c r="Q87" t="str">
        <f t="shared" si="35"/>
        <v/>
      </c>
      <c r="R87" t="str">
        <f t="shared" si="36"/>
        <v/>
      </c>
      <c r="S87" t="str">
        <f t="shared" si="37"/>
        <v/>
      </c>
      <c r="T87" t="str">
        <f t="shared" si="38"/>
        <v/>
      </c>
      <c r="U87" t="str">
        <f>IF(L87="","",L87*DATA!B4)</f>
        <v/>
      </c>
      <c r="V87" t="str">
        <f>IF(M87="","",M87*DATA!C4)</f>
        <v/>
      </c>
      <c r="W87" t="str">
        <f>IF(N87="","",N87*DATA!D4)</f>
        <v/>
      </c>
      <c r="X87" t="str">
        <f>IF(O87="","",O87*DATA!E4)</f>
        <v/>
      </c>
      <c r="Y87" t="str">
        <f>IF(P87="","",P87*DATA!F4)</f>
        <v/>
      </c>
      <c r="Z87" t="str">
        <f>IF(Q87="","",Q87*DATA!G4)</f>
        <v/>
      </c>
      <c r="AA87" t="str">
        <f>IF(R87="","",R87*DATA!H4)</f>
        <v/>
      </c>
      <c r="AB87" t="str">
        <f>IF(S87="","",S87*DATA!I4)</f>
        <v/>
      </c>
      <c r="AC87" t="str">
        <f>IF(T87="","",T87*DATA!J4)</f>
        <v/>
      </c>
      <c r="AD87" t="str">
        <f>IF(U87="","",SQRT(SUMPRODUCT((U87:AC87-#REF!)^2)))</f>
        <v/>
      </c>
      <c r="AE87" t="str">
        <f>IF(U87="","",SQRT(SUMPRODUCT((U87:AC87-U114:AC114)^2)))</f>
        <v/>
      </c>
      <c r="AF87" t="str">
        <f t="shared" si="39"/>
        <v/>
      </c>
    </row>
    <row r="88" spans="1:32" hidden="1" outlineLevel="1">
      <c r="A88" t="str">
        <f>IF(DATA!A90="","",DATA!A90)</f>
        <v/>
      </c>
      <c r="B88" t="str">
        <f>IF(DATA!B90="","",DATA!B90)</f>
        <v/>
      </c>
      <c r="C88" t="str">
        <f>IF(DATA!C90="","",DATA!C90)</f>
        <v/>
      </c>
      <c r="D88" t="str">
        <f>IF(DATA!D90="","",DATA!D90)</f>
        <v/>
      </c>
      <c r="E88" t="str">
        <f>IF(DATA!E90="","",DATA!E90)</f>
        <v/>
      </c>
      <c r="F88" t="str">
        <f>IF(DATA!F90="","",DATA!F90)</f>
        <v/>
      </c>
      <c r="G88" t="str">
        <f>IF(DATA!G90="","",DATA!G90)</f>
        <v/>
      </c>
      <c r="H88" t="str">
        <f>IF(DATA!H90="","",DATA!H90)</f>
        <v/>
      </c>
      <c r="I88" t="str">
        <f>IF(DATA!I90="","",DATA!I90)</f>
        <v/>
      </c>
      <c r="J88" t="str">
        <f>IF(DATA!J90="","",DATA!J90)</f>
        <v/>
      </c>
      <c r="L88" t="str">
        <f t="shared" si="30"/>
        <v/>
      </c>
      <c r="M88" t="str">
        <f t="shared" si="31"/>
        <v/>
      </c>
      <c r="N88" t="str">
        <f t="shared" si="32"/>
        <v/>
      </c>
      <c r="O88" t="str">
        <f t="shared" si="33"/>
        <v/>
      </c>
      <c r="P88" t="str">
        <f t="shared" si="34"/>
        <v/>
      </c>
      <c r="Q88" t="str">
        <f t="shared" si="35"/>
        <v/>
      </c>
      <c r="R88" t="str">
        <f t="shared" si="36"/>
        <v/>
      </c>
      <c r="S88" t="str">
        <f t="shared" si="37"/>
        <v/>
      </c>
      <c r="T88" t="str">
        <f t="shared" si="38"/>
        <v/>
      </c>
      <c r="U88" t="str">
        <f>IF(L88="","",L88*DATA!B4)</f>
        <v/>
      </c>
      <c r="V88" t="str">
        <f>IF(M88="","",M88*DATA!C4)</f>
        <v/>
      </c>
      <c r="W88" t="str">
        <f>IF(N88="","",N88*DATA!D4)</f>
        <v/>
      </c>
      <c r="X88" t="str">
        <f>IF(O88="","",O88*DATA!E4)</f>
        <v/>
      </c>
      <c r="Y88" t="str">
        <f>IF(P88="","",P88*DATA!F4)</f>
        <v/>
      </c>
      <c r="Z88" t="str">
        <f>IF(Q88="","",Q88*DATA!G4)</f>
        <v/>
      </c>
      <c r="AA88" t="str">
        <f>IF(R88="","",R88*DATA!H4)</f>
        <v/>
      </c>
      <c r="AB88" t="str">
        <f>IF(S88="","",S88*DATA!I4)</f>
        <v/>
      </c>
      <c r="AC88" t="str">
        <f>IF(T88="","",T88*DATA!J4)</f>
        <v/>
      </c>
      <c r="AD88" t="str">
        <f>IF(U88="","",SQRT(SUMPRODUCT((U88:AC88-#REF!)^2)))</f>
        <v/>
      </c>
      <c r="AE88" t="str">
        <f>IF(U88="","",SQRT(SUMPRODUCT((U88:AC88-U114:AC114)^2)))</f>
        <v/>
      </c>
      <c r="AF88" t="str">
        <f t="shared" si="39"/>
        <v/>
      </c>
    </row>
    <row r="89" spans="1:32" hidden="1" outlineLevel="1">
      <c r="A89" t="str">
        <f>IF(DATA!A91="","",DATA!A91)</f>
        <v/>
      </c>
      <c r="B89" t="str">
        <f>IF(DATA!B91="","",DATA!B91)</f>
        <v/>
      </c>
      <c r="C89" t="str">
        <f>IF(DATA!C91="","",DATA!C91)</f>
        <v/>
      </c>
      <c r="D89" t="str">
        <f>IF(DATA!D91="","",DATA!D91)</f>
        <v/>
      </c>
      <c r="E89" t="str">
        <f>IF(DATA!E91="","",DATA!E91)</f>
        <v/>
      </c>
      <c r="F89" t="str">
        <f>IF(DATA!F91="","",DATA!F91)</f>
        <v/>
      </c>
      <c r="G89" t="str">
        <f>IF(DATA!G91="","",DATA!G91)</f>
        <v/>
      </c>
      <c r="H89" t="str">
        <f>IF(DATA!H91="","",DATA!H91)</f>
        <v/>
      </c>
      <c r="I89" t="str">
        <f>IF(DATA!I91="","",DATA!I91)</f>
        <v/>
      </c>
      <c r="J89" t="str">
        <f>IF(DATA!J91="","",DATA!J91)</f>
        <v/>
      </c>
      <c r="L89" t="str">
        <f t="shared" si="30"/>
        <v/>
      </c>
      <c r="M89" t="str">
        <f t="shared" si="31"/>
        <v/>
      </c>
      <c r="N89" t="str">
        <f t="shared" si="32"/>
        <v/>
      </c>
      <c r="O89" t="str">
        <f t="shared" si="33"/>
        <v/>
      </c>
      <c r="P89" t="str">
        <f t="shared" si="34"/>
        <v/>
      </c>
      <c r="Q89" t="str">
        <f t="shared" si="35"/>
        <v/>
      </c>
      <c r="R89" t="str">
        <f t="shared" si="36"/>
        <v/>
      </c>
      <c r="S89" t="str">
        <f t="shared" si="37"/>
        <v/>
      </c>
      <c r="T89" t="str">
        <f t="shared" si="38"/>
        <v/>
      </c>
      <c r="U89" t="str">
        <f>IF(L89="","",L89*DATA!B4)</f>
        <v/>
      </c>
      <c r="V89" t="str">
        <f>IF(M89="","",M89*DATA!C4)</f>
        <v/>
      </c>
      <c r="W89" t="str">
        <f>IF(N89="","",N89*DATA!D4)</f>
        <v/>
      </c>
      <c r="X89" t="str">
        <f>IF(O89="","",O89*DATA!E4)</f>
        <v/>
      </c>
      <c r="Y89" t="str">
        <f>IF(P89="","",P89*DATA!F4)</f>
        <v/>
      </c>
      <c r="Z89" t="str">
        <f>IF(Q89="","",Q89*DATA!G4)</f>
        <v/>
      </c>
      <c r="AA89" t="str">
        <f>IF(R89="","",R89*DATA!H4)</f>
        <v/>
      </c>
      <c r="AB89" t="str">
        <f>IF(S89="","",S89*DATA!I4)</f>
        <v/>
      </c>
      <c r="AC89" t="str">
        <f>IF(T89="","",T89*DATA!J4)</f>
        <v/>
      </c>
      <c r="AD89" t="str">
        <f>IF(U89="","",SQRT(SUMPRODUCT((U89:AC89-#REF!)^2)))</f>
        <v/>
      </c>
      <c r="AE89" t="str">
        <f>IF(U89="","",SQRT(SUMPRODUCT((U89:AC89-U114:AC114)^2)))</f>
        <v/>
      </c>
      <c r="AF89" t="str">
        <f t="shared" si="39"/>
        <v/>
      </c>
    </row>
    <row r="90" spans="1:32" hidden="1" outlineLevel="1">
      <c r="A90" t="str">
        <f>IF(DATA!A92="","",DATA!A92)</f>
        <v/>
      </c>
      <c r="B90" t="str">
        <f>IF(DATA!B92="","",DATA!B92)</f>
        <v/>
      </c>
      <c r="C90" t="str">
        <f>IF(DATA!C92="","",DATA!C92)</f>
        <v/>
      </c>
      <c r="D90" t="str">
        <f>IF(DATA!D92="","",DATA!D92)</f>
        <v/>
      </c>
      <c r="E90" t="str">
        <f>IF(DATA!E92="","",DATA!E92)</f>
        <v/>
      </c>
      <c r="F90" t="str">
        <f>IF(DATA!F92="","",DATA!F92)</f>
        <v/>
      </c>
      <c r="G90" t="str">
        <f>IF(DATA!G92="","",DATA!G92)</f>
        <v/>
      </c>
      <c r="H90" t="str">
        <f>IF(DATA!H92="","",DATA!H92)</f>
        <v/>
      </c>
      <c r="I90" t="str">
        <f>IF(DATA!I92="","",DATA!I92)</f>
        <v/>
      </c>
      <c r="J90" t="str">
        <f>IF(DATA!J92="","",DATA!J92)</f>
        <v/>
      </c>
      <c r="L90" t="str">
        <f t="shared" si="30"/>
        <v/>
      </c>
      <c r="M90" t="str">
        <f t="shared" si="31"/>
        <v/>
      </c>
      <c r="N90" t="str">
        <f t="shared" si="32"/>
        <v/>
      </c>
      <c r="O90" t="str">
        <f t="shared" si="33"/>
        <v/>
      </c>
      <c r="P90" t="str">
        <f t="shared" si="34"/>
        <v/>
      </c>
      <c r="Q90" t="str">
        <f t="shared" si="35"/>
        <v/>
      </c>
      <c r="R90" t="str">
        <f t="shared" si="36"/>
        <v/>
      </c>
      <c r="S90" t="str">
        <f t="shared" si="37"/>
        <v/>
      </c>
      <c r="T90" t="str">
        <f t="shared" si="38"/>
        <v/>
      </c>
      <c r="U90" t="str">
        <f>IF(L90="","",L90*DATA!B4)</f>
        <v/>
      </c>
      <c r="V90" t="str">
        <f>IF(M90="","",M90*DATA!C4)</f>
        <v/>
      </c>
      <c r="W90" t="str">
        <f>IF(N90="","",N90*DATA!D4)</f>
        <v/>
      </c>
      <c r="X90" t="str">
        <f>IF(O90="","",O90*DATA!E4)</f>
        <v/>
      </c>
      <c r="Y90" t="str">
        <f>IF(P90="","",P90*DATA!F4)</f>
        <v/>
      </c>
      <c r="Z90" t="str">
        <f>IF(Q90="","",Q90*DATA!G4)</f>
        <v/>
      </c>
      <c r="AA90" t="str">
        <f>IF(R90="","",R90*DATA!H4)</f>
        <v/>
      </c>
      <c r="AB90" t="str">
        <f>IF(S90="","",S90*DATA!I4)</f>
        <v/>
      </c>
      <c r="AC90" t="str">
        <f>IF(T90="","",T90*DATA!J4)</f>
        <v/>
      </c>
      <c r="AD90" t="str">
        <f>IF(U90="","",SQRT(SUMPRODUCT((U90:AC90-#REF!)^2)))</f>
        <v/>
      </c>
      <c r="AE90" t="str">
        <f>IF(U90="","",SQRT(SUMPRODUCT((U90:AC90-U114:AC114)^2)))</f>
        <v/>
      </c>
      <c r="AF90" t="str">
        <f t="shared" si="39"/>
        <v/>
      </c>
    </row>
    <row r="91" spans="1:32" hidden="1" outlineLevel="1">
      <c r="A91" t="str">
        <f>IF(DATA!A93="","",DATA!A93)</f>
        <v/>
      </c>
      <c r="B91" t="str">
        <f>IF(DATA!B93="","",DATA!B93)</f>
        <v/>
      </c>
      <c r="C91" t="str">
        <f>IF(DATA!C93="","",DATA!C93)</f>
        <v/>
      </c>
      <c r="D91" t="str">
        <f>IF(DATA!D93="","",DATA!D93)</f>
        <v/>
      </c>
      <c r="E91" t="str">
        <f>IF(DATA!E93="","",DATA!E93)</f>
        <v/>
      </c>
      <c r="F91" t="str">
        <f>IF(DATA!F93="","",DATA!F93)</f>
        <v/>
      </c>
      <c r="G91" t="str">
        <f>IF(DATA!G93="","",DATA!G93)</f>
        <v/>
      </c>
      <c r="H91" t="str">
        <f>IF(DATA!H93="","",DATA!H93)</f>
        <v/>
      </c>
      <c r="I91" t="str">
        <f>IF(DATA!I93="","",DATA!I93)</f>
        <v/>
      </c>
      <c r="J91" t="str">
        <f>IF(DATA!J93="","",DATA!J93)</f>
        <v/>
      </c>
      <c r="L91" t="str">
        <f t="shared" si="30"/>
        <v/>
      </c>
      <c r="M91" t="str">
        <f t="shared" si="31"/>
        <v/>
      </c>
      <c r="N91" t="str">
        <f t="shared" si="32"/>
        <v/>
      </c>
      <c r="O91" t="str">
        <f t="shared" si="33"/>
        <v/>
      </c>
      <c r="P91" t="str">
        <f t="shared" si="34"/>
        <v/>
      </c>
      <c r="Q91" t="str">
        <f t="shared" si="35"/>
        <v/>
      </c>
      <c r="R91" t="str">
        <f t="shared" si="36"/>
        <v/>
      </c>
      <c r="S91" t="str">
        <f t="shared" si="37"/>
        <v/>
      </c>
      <c r="T91" t="str">
        <f t="shared" si="38"/>
        <v/>
      </c>
      <c r="U91" t="str">
        <f>IF(L91="","",L91*DATA!B4)</f>
        <v/>
      </c>
      <c r="V91" t="str">
        <f>IF(M91="","",M91*DATA!C4)</f>
        <v/>
      </c>
      <c r="W91" t="str">
        <f>IF(N91="","",N91*DATA!D4)</f>
        <v/>
      </c>
      <c r="X91" t="str">
        <f>IF(O91="","",O91*DATA!E4)</f>
        <v/>
      </c>
      <c r="Y91" t="str">
        <f>IF(P91="","",P91*DATA!F4)</f>
        <v/>
      </c>
      <c r="Z91" t="str">
        <f>IF(Q91="","",Q91*DATA!G4)</f>
        <v/>
      </c>
      <c r="AA91" t="str">
        <f>IF(R91="","",R91*DATA!H4)</f>
        <v/>
      </c>
      <c r="AB91" t="str">
        <f>IF(S91="","",S91*DATA!I4)</f>
        <v/>
      </c>
      <c r="AC91" t="str">
        <f>IF(T91="","",T91*DATA!J4)</f>
        <v/>
      </c>
      <c r="AD91" t="str">
        <f>IF(U91="","",SQRT(SUMPRODUCT((U91:AC91-#REF!)^2)))</f>
        <v/>
      </c>
      <c r="AE91" t="str">
        <f>IF(U91="","",SQRT(SUMPRODUCT((U91:AC91-U114:AC114)^2)))</f>
        <v/>
      </c>
      <c r="AF91" t="str">
        <f t="shared" si="39"/>
        <v/>
      </c>
    </row>
    <row r="92" spans="1:32" hidden="1" outlineLevel="1">
      <c r="A92" t="str">
        <f>IF(DATA!A94="","",DATA!A94)</f>
        <v/>
      </c>
      <c r="B92" t="str">
        <f>IF(DATA!B94="","",DATA!B94)</f>
        <v/>
      </c>
      <c r="C92" t="str">
        <f>IF(DATA!C94="","",DATA!C94)</f>
        <v/>
      </c>
      <c r="D92" t="str">
        <f>IF(DATA!D94="","",DATA!D94)</f>
        <v/>
      </c>
      <c r="E92" t="str">
        <f>IF(DATA!E94="","",DATA!E94)</f>
        <v/>
      </c>
      <c r="F92" t="str">
        <f>IF(DATA!F94="","",DATA!F94)</f>
        <v/>
      </c>
      <c r="G92" t="str">
        <f>IF(DATA!G94="","",DATA!G94)</f>
        <v/>
      </c>
      <c r="H92" t="str">
        <f>IF(DATA!H94="","",DATA!H94)</f>
        <v/>
      </c>
      <c r="I92" t="str">
        <f>IF(DATA!I94="","",DATA!I94)</f>
        <v/>
      </c>
      <c r="J92" t="str">
        <f>IF(DATA!J94="","",DATA!J94)</f>
        <v/>
      </c>
      <c r="L92" t="str">
        <f t="shared" si="30"/>
        <v/>
      </c>
      <c r="M92" t="str">
        <f t="shared" si="31"/>
        <v/>
      </c>
      <c r="N92" t="str">
        <f t="shared" si="32"/>
        <v/>
      </c>
      <c r="O92" t="str">
        <f t="shared" si="33"/>
        <v/>
      </c>
      <c r="P92" t="str">
        <f t="shared" si="34"/>
        <v/>
      </c>
      <c r="Q92" t="str">
        <f t="shared" si="35"/>
        <v/>
      </c>
      <c r="R92" t="str">
        <f t="shared" si="36"/>
        <v/>
      </c>
      <c r="S92" t="str">
        <f t="shared" si="37"/>
        <v/>
      </c>
      <c r="T92" t="str">
        <f t="shared" si="38"/>
        <v/>
      </c>
      <c r="U92" t="str">
        <f>IF(L92="","",L92*DATA!B4)</f>
        <v/>
      </c>
      <c r="V92" t="str">
        <f>IF(M92="","",M92*DATA!C4)</f>
        <v/>
      </c>
      <c r="W92" t="str">
        <f>IF(N92="","",N92*DATA!D4)</f>
        <v/>
      </c>
      <c r="X92" t="str">
        <f>IF(O92="","",O92*DATA!E4)</f>
        <v/>
      </c>
      <c r="Y92" t="str">
        <f>IF(P92="","",P92*DATA!F4)</f>
        <v/>
      </c>
      <c r="Z92" t="str">
        <f>IF(Q92="","",Q92*DATA!G4)</f>
        <v/>
      </c>
      <c r="AA92" t="str">
        <f>IF(R92="","",R92*DATA!H4)</f>
        <v/>
      </c>
      <c r="AB92" t="str">
        <f>IF(S92="","",S92*DATA!I4)</f>
        <v/>
      </c>
      <c r="AC92" t="str">
        <f>IF(T92="","",T92*DATA!J4)</f>
        <v/>
      </c>
      <c r="AD92" t="str">
        <f>IF(U92="","",SQRT(SUMPRODUCT((U92:AC92-#REF!)^2)))</f>
        <v/>
      </c>
      <c r="AE92" t="str">
        <f>IF(U92="","",SQRT(SUMPRODUCT((U92:AC92-U114:AC114)^2)))</f>
        <v/>
      </c>
      <c r="AF92" t="str">
        <f t="shared" si="39"/>
        <v/>
      </c>
    </row>
    <row r="93" spans="1:32" hidden="1" outlineLevel="1">
      <c r="A93" t="str">
        <f>IF(DATA!A95="","",DATA!A95)</f>
        <v/>
      </c>
      <c r="B93" t="str">
        <f>IF(DATA!B95="","",DATA!B95)</f>
        <v/>
      </c>
      <c r="C93" t="str">
        <f>IF(DATA!C95="","",DATA!C95)</f>
        <v/>
      </c>
      <c r="D93" t="str">
        <f>IF(DATA!D95="","",DATA!D95)</f>
        <v/>
      </c>
      <c r="E93" t="str">
        <f>IF(DATA!E95="","",DATA!E95)</f>
        <v/>
      </c>
      <c r="F93" t="str">
        <f>IF(DATA!F95="","",DATA!F95)</f>
        <v/>
      </c>
      <c r="G93" t="str">
        <f>IF(DATA!G95="","",DATA!G95)</f>
        <v/>
      </c>
      <c r="H93" t="str">
        <f>IF(DATA!H95="","",DATA!H95)</f>
        <v/>
      </c>
      <c r="I93" t="str">
        <f>IF(DATA!I95="","",DATA!I95)</f>
        <v/>
      </c>
      <c r="J93" t="str">
        <f>IF(DATA!J95="","",DATA!J95)</f>
        <v/>
      </c>
      <c r="L93" t="str">
        <f t="shared" si="30"/>
        <v/>
      </c>
      <c r="M93" t="str">
        <f t="shared" si="31"/>
        <v/>
      </c>
      <c r="N93" t="str">
        <f t="shared" si="32"/>
        <v/>
      </c>
      <c r="O93" t="str">
        <f t="shared" si="33"/>
        <v/>
      </c>
      <c r="P93" t="str">
        <f t="shared" si="34"/>
        <v/>
      </c>
      <c r="Q93" t="str">
        <f t="shared" si="35"/>
        <v/>
      </c>
      <c r="R93" t="str">
        <f t="shared" si="36"/>
        <v/>
      </c>
      <c r="S93" t="str">
        <f t="shared" si="37"/>
        <v/>
      </c>
      <c r="T93" t="str">
        <f t="shared" si="38"/>
        <v/>
      </c>
      <c r="U93" t="str">
        <f>IF(L93="","",L93*DATA!B4)</f>
        <v/>
      </c>
      <c r="V93" t="str">
        <f>IF(M93="","",M93*DATA!C4)</f>
        <v/>
      </c>
      <c r="W93" t="str">
        <f>IF(N93="","",N93*DATA!D4)</f>
        <v/>
      </c>
      <c r="X93" t="str">
        <f>IF(O93="","",O93*DATA!E4)</f>
        <v/>
      </c>
      <c r="Y93" t="str">
        <f>IF(P93="","",P93*DATA!F4)</f>
        <v/>
      </c>
      <c r="Z93" t="str">
        <f>IF(Q93="","",Q93*DATA!G4)</f>
        <v/>
      </c>
      <c r="AA93" t="str">
        <f>IF(R93="","",R93*DATA!H4)</f>
        <v/>
      </c>
      <c r="AB93" t="str">
        <f>IF(S93="","",S93*DATA!I4)</f>
        <v/>
      </c>
      <c r="AC93" t="str">
        <f>IF(T93="","",T93*DATA!J4)</f>
        <v/>
      </c>
      <c r="AD93" t="str">
        <f>IF(U93="","",SQRT(SUMPRODUCT((U93:AC93-#REF!)^2)))</f>
        <v/>
      </c>
      <c r="AE93" t="str">
        <f>IF(U93="","",SQRT(SUMPRODUCT((U93:AC93-U114:AC114)^2)))</f>
        <v/>
      </c>
      <c r="AF93" t="str">
        <f t="shared" si="39"/>
        <v/>
      </c>
    </row>
    <row r="94" spans="1:32" hidden="1" outlineLevel="1">
      <c r="A94" t="str">
        <f>IF(DATA!A96="","",DATA!A96)</f>
        <v/>
      </c>
      <c r="B94" t="str">
        <f>IF(DATA!B96="","",DATA!B96)</f>
        <v/>
      </c>
      <c r="C94" t="str">
        <f>IF(DATA!C96="","",DATA!C96)</f>
        <v/>
      </c>
      <c r="D94" t="str">
        <f>IF(DATA!D96="","",DATA!D96)</f>
        <v/>
      </c>
      <c r="E94" t="str">
        <f>IF(DATA!E96="","",DATA!E96)</f>
        <v/>
      </c>
      <c r="F94" t="str">
        <f>IF(DATA!F96="","",DATA!F96)</f>
        <v/>
      </c>
      <c r="G94" t="str">
        <f>IF(DATA!G96="","",DATA!G96)</f>
        <v/>
      </c>
      <c r="H94" t="str">
        <f>IF(DATA!H96="","",DATA!H96)</f>
        <v/>
      </c>
      <c r="I94" t="str">
        <f>IF(DATA!I96="","",DATA!I96)</f>
        <v/>
      </c>
      <c r="J94" t="str">
        <f>IF(DATA!J96="","",DATA!J96)</f>
        <v/>
      </c>
      <c r="L94" t="str">
        <f t="shared" si="30"/>
        <v/>
      </c>
      <c r="M94" t="str">
        <f t="shared" si="31"/>
        <v/>
      </c>
      <c r="N94" t="str">
        <f t="shared" si="32"/>
        <v/>
      </c>
      <c r="O94" t="str">
        <f t="shared" si="33"/>
        <v/>
      </c>
      <c r="P94" t="str">
        <f t="shared" si="34"/>
        <v/>
      </c>
      <c r="Q94" t="str">
        <f t="shared" si="35"/>
        <v/>
      </c>
      <c r="R94" t="str">
        <f t="shared" si="36"/>
        <v/>
      </c>
      <c r="S94" t="str">
        <f t="shared" si="37"/>
        <v/>
      </c>
      <c r="T94" t="str">
        <f t="shared" si="38"/>
        <v/>
      </c>
      <c r="U94" t="str">
        <f>IF(L94="","",L94*DATA!B4)</f>
        <v/>
      </c>
      <c r="V94" t="str">
        <f>IF(M94="","",M94*DATA!C4)</f>
        <v/>
      </c>
      <c r="W94" t="str">
        <f>IF(N94="","",N94*DATA!D4)</f>
        <v/>
      </c>
      <c r="X94" t="str">
        <f>IF(O94="","",O94*DATA!E4)</f>
        <v/>
      </c>
      <c r="Y94" t="str">
        <f>IF(P94="","",P94*DATA!F4)</f>
        <v/>
      </c>
      <c r="Z94" t="str">
        <f>IF(Q94="","",Q94*DATA!G4)</f>
        <v/>
      </c>
      <c r="AA94" t="str">
        <f>IF(R94="","",R94*DATA!H4)</f>
        <v/>
      </c>
      <c r="AB94" t="str">
        <f>IF(S94="","",S94*DATA!I4)</f>
        <v/>
      </c>
      <c r="AC94" t="str">
        <f>IF(T94="","",T94*DATA!J4)</f>
        <v/>
      </c>
      <c r="AD94" t="str">
        <f>IF(U94="","",SQRT(SUMPRODUCT((U94:AC94-#REF!)^2)))</f>
        <v/>
      </c>
      <c r="AE94" t="str">
        <f>IF(U94="","",SQRT(SUMPRODUCT((U94:AC94-U114:AC114)^2)))</f>
        <v/>
      </c>
      <c r="AF94" t="str">
        <f t="shared" si="39"/>
        <v/>
      </c>
    </row>
    <row r="95" spans="1:32" hidden="1" outlineLevel="1">
      <c r="A95" t="str">
        <f>IF(DATA!A97="","",DATA!A97)</f>
        <v/>
      </c>
      <c r="B95" t="str">
        <f>IF(DATA!B97="","",DATA!B97)</f>
        <v/>
      </c>
      <c r="C95" t="str">
        <f>IF(DATA!C97="","",DATA!C97)</f>
        <v/>
      </c>
      <c r="D95" t="str">
        <f>IF(DATA!D97="","",DATA!D97)</f>
        <v/>
      </c>
      <c r="E95" t="str">
        <f>IF(DATA!E97="","",DATA!E97)</f>
        <v/>
      </c>
      <c r="F95" t="str">
        <f>IF(DATA!F97="","",DATA!F97)</f>
        <v/>
      </c>
      <c r="G95" t="str">
        <f>IF(DATA!G97="","",DATA!G97)</f>
        <v/>
      </c>
      <c r="H95" t="str">
        <f>IF(DATA!H97="","",DATA!H97)</f>
        <v/>
      </c>
      <c r="I95" t="str">
        <f>IF(DATA!I97="","",DATA!I97)</f>
        <v/>
      </c>
      <c r="J95" t="str">
        <f>IF(DATA!J97="","",DATA!J97)</f>
        <v/>
      </c>
      <c r="L95" t="str">
        <f t="shared" si="30"/>
        <v/>
      </c>
      <c r="M95" t="str">
        <f t="shared" si="31"/>
        <v/>
      </c>
      <c r="N95" t="str">
        <f t="shared" si="32"/>
        <v/>
      </c>
      <c r="O95" t="str">
        <f t="shared" si="33"/>
        <v/>
      </c>
      <c r="P95" t="str">
        <f t="shared" si="34"/>
        <v/>
      </c>
      <c r="Q95" t="str">
        <f t="shared" si="35"/>
        <v/>
      </c>
      <c r="R95" t="str">
        <f t="shared" si="36"/>
        <v/>
      </c>
      <c r="S95" t="str">
        <f t="shared" si="37"/>
        <v/>
      </c>
      <c r="T95" t="str">
        <f t="shared" si="38"/>
        <v/>
      </c>
      <c r="U95" t="str">
        <f>IF(L95="","",L95*DATA!B4)</f>
        <v/>
      </c>
      <c r="V95" t="str">
        <f>IF(M95="","",M95*DATA!C4)</f>
        <v/>
      </c>
      <c r="W95" t="str">
        <f>IF(N95="","",N95*DATA!D4)</f>
        <v/>
      </c>
      <c r="X95" t="str">
        <f>IF(O95="","",O95*DATA!E4)</f>
        <v/>
      </c>
      <c r="Y95" t="str">
        <f>IF(P95="","",P95*DATA!F4)</f>
        <v/>
      </c>
      <c r="Z95" t="str">
        <f>IF(Q95="","",Q95*DATA!G4)</f>
        <v/>
      </c>
      <c r="AA95" t="str">
        <f>IF(R95="","",R95*DATA!H4)</f>
        <v/>
      </c>
      <c r="AB95" t="str">
        <f>IF(S95="","",S95*DATA!I4)</f>
        <v/>
      </c>
      <c r="AC95" t="str">
        <f>IF(T95="","",T95*DATA!J4)</f>
        <v/>
      </c>
      <c r="AD95" t="str">
        <f>IF(U95="","",SQRT(SUMPRODUCT((U95:AC95-#REF!)^2)))</f>
        <v/>
      </c>
      <c r="AE95" t="str">
        <f>IF(U95="","",SQRT(SUMPRODUCT((U95:AC95-U114:AC114)^2)))</f>
        <v/>
      </c>
      <c r="AF95" t="str">
        <f t="shared" si="39"/>
        <v/>
      </c>
    </row>
    <row r="96" spans="1:32" hidden="1" outlineLevel="1">
      <c r="A96" t="str">
        <f>IF(DATA!A98="","",DATA!A98)</f>
        <v/>
      </c>
      <c r="B96" t="str">
        <f>IF(DATA!B98="","",DATA!B98)</f>
        <v/>
      </c>
      <c r="C96" t="str">
        <f>IF(DATA!C98="","",DATA!C98)</f>
        <v/>
      </c>
      <c r="D96" t="str">
        <f>IF(DATA!D98="","",DATA!D98)</f>
        <v/>
      </c>
      <c r="E96" t="str">
        <f>IF(DATA!E98="","",DATA!E98)</f>
        <v/>
      </c>
      <c r="F96" t="str">
        <f>IF(DATA!F98="","",DATA!F98)</f>
        <v/>
      </c>
      <c r="G96" t="str">
        <f>IF(DATA!G98="","",DATA!G98)</f>
        <v/>
      </c>
      <c r="H96" t="str">
        <f>IF(DATA!H98="","",DATA!H98)</f>
        <v/>
      </c>
      <c r="I96" t="str">
        <f>IF(DATA!I98="","",DATA!I98)</f>
        <v/>
      </c>
      <c r="J96" t="str">
        <f>IF(DATA!J98="","",DATA!J98)</f>
        <v/>
      </c>
      <c r="L96" t="str">
        <f t="shared" si="30"/>
        <v/>
      </c>
      <c r="M96" t="str">
        <f t="shared" si="31"/>
        <v/>
      </c>
      <c r="N96" t="str">
        <f t="shared" si="32"/>
        <v/>
      </c>
      <c r="O96" t="str">
        <f t="shared" si="33"/>
        <v/>
      </c>
      <c r="P96" t="str">
        <f t="shared" si="34"/>
        <v/>
      </c>
      <c r="Q96" t="str">
        <f t="shared" si="35"/>
        <v/>
      </c>
      <c r="R96" t="str">
        <f t="shared" si="36"/>
        <v/>
      </c>
      <c r="S96" t="str">
        <f t="shared" si="37"/>
        <v/>
      </c>
      <c r="T96" t="str">
        <f t="shared" si="38"/>
        <v/>
      </c>
      <c r="U96" t="str">
        <f>IF(L96="","",L96*DATA!B4)</f>
        <v/>
      </c>
      <c r="V96" t="str">
        <f>IF(M96="","",M96*DATA!C4)</f>
        <v/>
      </c>
      <c r="W96" t="str">
        <f>IF(N96="","",N96*DATA!D4)</f>
        <v/>
      </c>
      <c r="X96" t="str">
        <f>IF(O96="","",O96*DATA!E4)</f>
        <v/>
      </c>
      <c r="Y96" t="str">
        <f>IF(P96="","",P96*DATA!F4)</f>
        <v/>
      </c>
      <c r="Z96" t="str">
        <f>IF(Q96="","",Q96*DATA!G4)</f>
        <v/>
      </c>
      <c r="AA96" t="str">
        <f>IF(R96="","",R96*DATA!H4)</f>
        <v/>
      </c>
      <c r="AB96" t="str">
        <f>IF(S96="","",S96*DATA!I4)</f>
        <v/>
      </c>
      <c r="AC96" t="str">
        <f>IF(T96="","",T96*DATA!J4)</f>
        <v/>
      </c>
      <c r="AD96" t="str">
        <f>IF(U96="","",SQRT(SUMPRODUCT((U96:AC96-#REF!)^2)))</f>
        <v/>
      </c>
      <c r="AE96" t="str">
        <f>IF(U96="","",SQRT(SUMPRODUCT((U96:AC96-U114:AC114)^2)))</f>
        <v/>
      </c>
      <c r="AF96" t="str">
        <f t="shared" si="39"/>
        <v/>
      </c>
    </row>
    <row r="97" spans="1:32" hidden="1" outlineLevel="1">
      <c r="A97" t="str">
        <f>IF(DATA!A99="","",DATA!A99)</f>
        <v/>
      </c>
      <c r="B97" t="str">
        <f>IF(DATA!B99="","",DATA!B99)</f>
        <v/>
      </c>
      <c r="C97" t="str">
        <f>IF(DATA!C99="","",DATA!C99)</f>
        <v/>
      </c>
      <c r="D97" t="str">
        <f>IF(DATA!D99="","",DATA!D99)</f>
        <v/>
      </c>
      <c r="E97" t="str">
        <f>IF(DATA!E99="","",DATA!E99)</f>
        <v/>
      </c>
      <c r="F97" t="str">
        <f>IF(DATA!F99="","",DATA!F99)</f>
        <v/>
      </c>
      <c r="G97" t="str">
        <f>IF(DATA!G99="","",DATA!G99)</f>
        <v/>
      </c>
      <c r="H97" t="str">
        <f>IF(DATA!H99="","",DATA!H99)</f>
        <v/>
      </c>
      <c r="I97" t="str">
        <f>IF(DATA!I99="","",DATA!I99)</f>
        <v/>
      </c>
      <c r="J97" t="str">
        <f>IF(DATA!J99="","",DATA!J99)</f>
        <v/>
      </c>
      <c r="L97" t="str">
        <f t="shared" si="30"/>
        <v/>
      </c>
      <c r="M97" t="str">
        <f t="shared" si="31"/>
        <v/>
      </c>
      <c r="N97" t="str">
        <f t="shared" si="32"/>
        <v/>
      </c>
      <c r="O97" t="str">
        <f t="shared" si="33"/>
        <v/>
      </c>
      <c r="P97" t="str">
        <f t="shared" si="34"/>
        <v/>
      </c>
      <c r="Q97" t="str">
        <f t="shared" si="35"/>
        <v/>
      </c>
      <c r="R97" t="str">
        <f t="shared" si="36"/>
        <v/>
      </c>
      <c r="S97" t="str">
        <f t="shared" si="37"/>
        <v/>
      </c>
      <c r="T97" t="str">
        <f t="shared" si="38"/>
        <v/>
      </c>
      <c r="U97" t="str">
        <f>IF(L97="","",L97*DATA!B4)</f>
        <v/>
      </c>
      <c r="V97" t="str">
        <f>IF(M97="","",M97*DATA!C4)</f>
        <v/>
      </c>
      <c r="W97" t="str">
        <f>IF(N97="","",N97*DATA!D4)</f>
        <v/>
      </c>
      <c r="X97" t="str">
        <f>IF(O97="","",O97*DATA!E4)</f>
        <v/>
      </c>
      <c r="Y97" t="str">
        <f>IF(P97="","",P97*DATA!F4)</f>
        <v/>
      </c>
      <c r="Z97" t="str">
        <f>IF(Q97="","",Q97*DATA!G4)</f>
        <v/>
      </c>
      <c r="AA97" t="str">
        <f>IF(R97="","",R97*DATA!H4)</f>
        <v/>
      </c>
      <c r="AB97" t="str">
        <f>IF(S97="","",S97*DATA!I4)</f>
        <v/>
      </c>
      <c r="AC97" t="str">
        <f>IF(T97="","",T97*DATA!J4)</f>
        <v/>
      </c>
      <c r="AD97" t="str">
        <f>IF(U97="","",SQRT(SUMPRODUCT((U97:AC97-#REF!)^2)))</f>
        <v/>
      </c>
      <c r="AE97" t="str">
        <f>IF(U97="","",SQRT(SUMPRODUCT((U97:AC97-U114:AC114)^2)))</f>
        <v/>
      </c>
      <c r="AF97" t="str">
        <f t="shared" si="39"/>
        <v/>
      </c>
    </row>
    <row r="98" spans="1:32" hidden="1" outlineLevel="1">
      <c r="A98" t="str">
        <f>IF(DATA!A100="","",DATA!A100)</f>
        <v/>
      </c>
      <c r="B98" t="str">
        <f>IF(DATA!B100="","",DATA!B100)</f>
        <v/>
      </c>
      <c r="C98" t="str">
        <f>IF(DATA!C100="","",DATA!C100)</f>
        <v/>
      </c>
      <c r="D98" t="str">
        <f>IF(DATA!D100="","",DATA!D100)</f>
        <v/>
      </c>
      <c r="E98" t="str">
        <f>IF(DATA!E100="","",DATA!E100)</f>
        <v/>
      </c>
      <c r="F98" t="str">
        <f>IF(DATA!F100="","",DATA!F100)</f>
        <v/>
      </c>
      <c r="G98" t="str">
        <f>IF(DATA!G100="","",DATA!G100)</f>
        <v/>
      </c>
      <c r="H98" t="str">
        <f>IF(DATA!H100="","",DATA!H100)</f>
        <v/>
      </c>
      <c r="I98" t="str">
        <f>IF(DATA!I100="","",DATA!I100)</f>
        <v/>
      </c>
      <c r="J98" t="str">
        <f>IF(DATA!J100="","",DATA!J100)</f>
        <v/>
      </c>
      <c r="L98" t="str">
        <f t="shared" si="30"/>
        <v/>
      </c>
      <c r="M98" t="str">
        <f t="shared" si="31"/>
        <v/>
      </c>
      <c r="N98" t="str">
        <f t="shared" si="32"/>
        <v/>
      </c>
      <c r="O98" t="str">
        <f t="shared" si="33"/>
        <v/>
      </c>
      <c r="P98" t="str">
        <f t="shared" si="34"/>
        <v/>
      </c>
      <c r="Q98" t="str">
        <f t="shared" si="35"/>
        <v/>
      </c>
      <c r="R98" t="str">
        <f t="shared" si="36"/>
        <v/>
      </c>
      <c r="S98" t="str">
        <f t="shared" si="37"/>
        <v/>
      </c>
      <c r="T98" t="str">
        <f t="shared" si="38"/>
        <v/>
      </c>
      <c r="U98" t="str">
        <f>IF(L98="","",L98*DATA!B4)</f>
        <v/>
      </c>
      <c r="V98" t="str">
        <f>IF(M98="","",M98*DATA!C4)</f>
        <v/>
      </c>
      <c r="W98" t="str">
        <f>IF(N98="","",N98*DATA!D4)</f>
        <v/>
      </c>
      <c r="X98" t="str">
        <f>IF(O98="","",O98*DATA!E4)</f>
        <v/>
      </c>
      <c r="Y98" t="str">
        <f>IF(P98="","",P98*DATA!F4)</f>
        <v/>
      </c>
      <c r="Z98" t="str">
        <f>IF(Q98="","",Q98*DATA!G4)</f>
        <v/>
      </c>
      <c r="AA98" t="str">
        <f>IF(R98="","",R98*DATA!H4)</f>
        <v/>
      </c>
      <c r="AB98" t="str">
        <f>IF(S98="","",S98*DATA!I4)</f>
        <v/>
      </c>
      <c r="AC98" t="str">
        <f>IF(T98="","",T98*DATA!J4)</f>
        <v/>
      </c>
      <c r="AD98" t="str">
        <f>IF(U98="","",SQRT(SUMPRODUCT((U98:AC98-#REF!)^2)))</f>
        <v/>
      </c>
      <c r="AE98" t="str">
        <f>IF(U98="","",SQRT(SUMPRODUCT((U98:AC98-U114:AC114)^2)))</f>
        <v/>
      </c>
      <c r="AF98" t="str">
        <f t="shared" si="39"/>
        <v/>
      </c>
    </row>
    <row r="99" spans="1:32" hidden="1" outlineLevel="1">
      <c r="A99" t="str">
        <f>IF(DATA!A101="","",DATA!A101)</f>
        <v/>
      </c>
      <c r="B99" t="str">
        <f>IF(DATA!B101="","",DATA!B101)</f>
        <v/>
      </c>
      <c r="C99" t="str">
        <f>IF(DATA!C101="","",DATA!C101)</f>
        <v/>
      </c>
      <c r="D99" t="str">
        <f>IF(DATA!D101="","",DATA!D101)</f>
        <v/>
      </c>
      <c r="E99" t="str">
        <f>IF(DATA!E101="","",DATA!E101)</f>
        <v/>
      </c>
      <c r="F99" t="str">
        <f>IF(DATA!F101="","",DATA!F101)</f>
        <v/>
      </c>
      <c r="G99" t="str">
        <f>IF(DATA!G101="","",DATA!G101)</f>
        <v/>
      </c>
      <c r="H99" t="str">
        <f>IF(DATA!H101="","",DATA!H101)</f>
        <v/>
      </c>
      <c r="I99" t="str">
        <f>IF(DATA!I101="","",DATA!I101)</f>
        <v/>
      </c>
      <c r="J99" t="str">
        <f>IF(DATA!J101="","",DATA!J101)</f>
        <v/>
      </c>
      <c r="L99" t="str">
        <f t="shared" si="30"/>
        <v/>
      </c>
      <c r="M99" t="str">
        <f t="shared" si="31"/>
        <v/>
      </c>
      <c r="N99" t="str">
        <f t="shared" si="32"/>
        <v/>
      </c>
      <c r="O99" t="str">
        <f t="shared" si="33"/>
        <v/>
      </c>
      <c r="P99" t="str">
        <f t="shared" si="34"/>
        <v/>
      </c>
      <c r="Q99" t="str">
        <f t="shared" si="35"/>
        <v/>
      </c>
      <c r="R99" t="str">
        <f t="shared" si="36"/>
        <v/>
      </c>
      <c r="S99" t="str">
        <f t="shared" si="37"/>
        <v/>
      </c>
      <c r="T99" t="str">
        <f t="shared" si="38"/>
        <v/>
      </c>
      <c r="U99" t="str">
        <f>IF(L99="","",L99*DATA!B4)</f>
        <v/>
      </c>
      <c r="V99" t="str">
        <f>IF(M99="","",M99*DATA!C4)</f>
        <v/>
      </c>
      <c r="W99" t="str">
        <f>IF(N99="","",N99*DATA!D4)</f>
        <v/>
      </c>
      <c r="X99" t="str">
        <f>IF(O99="","",O99*DATA!E4)</f>
        <v/>
      </c>
      <c r="Y99" t="str">
        <f>IF(P99="","",P99*DATA!F4)</f>
        <v/>
      </c>
      <c r="Z99" t="str">
        <f>IF(Q99="","",Q99*DATA!G4)</f>
        <v/>
      </c>
      <c r="AA99" t="str">
        <f>IF(R99="","",R99*DATA!H4)</f>
        <v/>
      </c>
      <c r="AB99" t="str">
        <f>IF(S99="","",S99*DATA!I4)</f>
        <v/>
      </c>
      <c r="AC99" t="str">
        <f>IF(T99="","",T99*DATA!J4)</f>
        <v/>
      </c>
      <c r="AD99" t="str">
        <f>IF(U99="","",SQRT(SUMPRODUCT((U99:AC99-#REF!)^2)))</f>
        <v/>
      </c>
      <c r="AE99" t="str">
        <f>IF(U99="","",SQRT(SUMPRODUCT((U99:AC99-U114:AC114)^2)))</f>
        <v/>
      </c>
      <c r="AF99" t="str">
        <f t="shared" si="39"/>
        <v/>
      </c>
    </row>
    <row r="100" spans="1:32" hidden="1" outlineLevel="1">
      <c r="A100" t="str">
        <f>IF(DATA!A102="","",DATA!A102)</f>
        <v/>
      </c>
      <c r="B100" t="str">
        <f>IF(DATA!B102="","",DATA!B102)</f>
        <v/>
      </c>
      <c r="C100" t="str">
        <f>IF(DATA!C102="","",DATA!C102)</f>
        <v/>
      </c>
      <c r="D100" t="str">
        <f>IF(DATA!D102="","",DATA!D102)</f>
        <v/>
      </c>
      <c r="E100" t="str">
        <f>IF(DATA!E102="","",DATA!E102)</f>
        <v/>
      </c>
      <c r="F100" t="str">
        <f>IF(DATA!F102="","",DATA!F102)</f>
        <v/>
      </c>
      <c r="G100" t="str">
        <f>IF(DATA!G102="","",DATA!G102)</f>
        <v/>
      </c>
      <c r="H100" t="str">
        <f>IF(DATA!H102="","",DATA!H102)</f>
        <v/>
      </c>
      <c r="I100" t="str">
        <f>IF(DATA!I102="","",DATA!I102)</f>
        <v/>
      </c>
      <c r="J100" t="str">
        <f>IF(DATA!J102="","",DATA!J102)</f>
        <v/>
      </c>
      <c r="L100" t="str">
        <f t="shared" si="30"/>
        <v/>
      </c>
      <c r="M100" t="str">
        <f t="shared" si="31"/>
        <v/>
      </c>
      <c r="N100" t="str">
        <f t="shared" si="32"/>
        <v/>
      </c>
      <c r="O100" t="str">
        <f t="shared" si="33"/>
        <v/>
      </c>
      <c r="P100" t="str">
        <f t="shared" si="34"/>
        <v/>
      </c>
      <c r="Q100" t="str">
        <f t="shared" si="35"/>
        <v/>
      </c>
      <c r="R100" t="str">
        <f t="shared" si="36"/>
        <v/>
      </c>
      <c r="S100" t="str">
        <f t="shared" si="37"/>
        <v/>
      </c>
      <c r="T100" t="str">
        <f t="shared" si="38"/>
        <v/>
      </c>
      <c r="U100" t="str">
        <f>IF(L100="","",L100*DATA!B4)</f>
        <v/>
      </c>
      <c r="V100" t="str">
        <f>IF(M100="","",M100*DATA!C4)</f>
        <v/>
      </c>
      <c r="W100" t="str">
        <f>IF(N100="","",N100*DATA!D4)</f>
        <v/>
      </c>
      <c r="X100" t="str">
        <f>IF(O100="","",O100*DATA!E4)</f>
        <v/>
      </c>
      <c r="Y100" t="str">
        <f>IF(P100="","",P100*DATA!F4)</f>
        <v/>
      </c>
      <c r="Z100" t="str">
        <f>IF(Q100="","",Q100*DATA!G4)</f>
        <v/>
      </c>
      <c r="AA100" t="str">
        <f>IF(R100="","",R100*DATA!H4)</f>
        <v/>
      </c>
      <c r="AB100" t="str">
        <f>IF(S100="","",S100*DATA!I4)</f>
        <v/>
      </c>
      <c r="AC100" t="str">
        <f>IF(T100="","",T100*DATA!J4)</f>
        <v/>
      </c>
      <c r="AD100" t="str">
        <f>IF(U100="","",SQRT(SUMPRODUCT((U100:AC100-#REF!)^2)))</f>
        <v/>
      </c>
      <c r="AE100" t="str">
        <f>IF(U100="","",SQRT(SUMPRODUCT((U100:AC100-U114:AC114)^2)))</f>
        <v/>
      </c>
      <c r="AF100" t="str">
        <f t="shared" si="39"/>
        <v/>
      </c>
    </row>
    <row r="101" spans="1:32" hidden="1" outlineLevel="1">
      <c r="A101" t="str">
        <f>IF(DATA!A103="","",DATA!A103)</f>
        <v/>
      </c>
      <c r="B101" t="str">
        <f>IF(DATA!B103="","",DATA!B103)</f>
        <v/>
      </c>
      <c r="C101" t="str">
        <f>IF(DATA!C103="","",DATA!C103)</f>
        <v/>
      </c>
      <c r="D101" t="str">
        <f>IF(DATA!D103="","",DATA!D103)</f>
        <v/>
      </c>
      <c r="E101" t="str">
        <f>IF(DATA!E103="","",DATA!E103)</f>
        <v/>
      </c>
      <c r="F101" t="str">
        <f>IF(DATA!F103="","",DATA!F103)</f>
        <v/>
      </c>
      <c r="G101" t="str">
        <f>IF(DATA!G103="","",DATA!G103)</f>
        <v/>
      </c>
      <c r="H101" t="str">
        <f>IF(DATA!H103="","",DATA!H103)</f>
        <v/>
      </c>
      <c r="I101" t="str">
        <f>IF(DATA!I103="","",DATA!I103)</f>
        <v/>
      </c>
      <c r="J101" t="str">
        <f>IF(DATA!J103="","",DATA!J103)</f>
        <v/>
      </c>
      <c r="L101" t="str">
        <f t="shared" si="30"/>
        <v/>
      </c>
      <c r="M101" t="str">
        <f t="shared" si="31"/>
        <v/>
      </c>
      <c r="N101" t="str">
        <f t="shared" si="32"/>
        <v/>
      </c>
      <c r="O101" t="str">
        <f t="shared" si="33"/>
        <v/>
      </c>
      <c r="P101" t="str">
        <f t="shared" si="34"/>
        <v/>
      </c>
      <c r="Q101" t="str">
        <f t="shared" si="35"/>
        <v/>
      </c>
      <c r="R101" t="str">
        <f t="shared" si="36"/>
        <v/>
      </c>
      <c r="S101" t="str">
        <f t="shared" si="37"/>
        <v/>
      </c>
      <c r="T101" t="str">
        <f t="shared" si="38"/>
        <v/>
      </c>
      <c r="U101" t="str">
        <f>IF(L101="","",L101*DATA!B4)</f>
        <v/>
      </c>
      <c r="V101" t="str">
        <f>IF(M101="","",M101*DATA!C4)</f>
        <v/>
      </c>
      <c r="W101" t="str">
        <f>IF(N101="","",N101*DATA!D4)</f>
        <v/>
      </c>
      <c r="X101" t="str">
        <f>IF(O101="","",O101*DATA!E4)</f>
        <v/>
      </c>
      <c r="Y101" t="str">
        <f>IF(P101="","",P101*DATA!F4)</f>
        <v/>
      </c>
      <c r="Z101" t="str">
        <f>IF(Q101="","",Q101*DATA!G4)</f>
        <v/>
      </c>
      <c r="AA101" t="str">
        <f>IF(R101="","",R101*DATA!H4)</f>
        <v/>
      </c>
      <c r="AB101" t="str">
        <f>IF(S101="","",S101*DATA!I4)</f>
        <v/>
      </c>
      <c r="AC101" t="str">
        <f>IF(T101="","",T101*DATA!J4)</f>
        <v/>
      </c>
      <c r="AD101" t="str">
        <f>IF(U101="","",SQRT(SUMPRODUCT((U101:AC101-#REF!)^2)))</f>
        <v/>
      </c>
      <c r="AE101" t="str">
        <f>IF(U101="","",SQRT(SUMPRODUCT((U101:AC101-U114:AC114)^2)))</f>
        <v/>
      </c>
      <c r="AF101" t="str">
        <f t="shared" si="39"/>
        <v/>
      </c>
    </row>
    <row r="102" spans="1:32" hidden="1" outlineLevel="1">
      <c r="A102" t="str">
        <f>IF(DATA!A104="","",DATA!A104)</f>
        <v/>
      </c>
      <c r="B102" t="str">
        <f>IF(DATA!B104="","",DATA!B104)</f>
        <v/>
      </c>
      <c r="C102" t="str">
        <f>IF(DATA!C104="","",DATA!C104)</f>
        <v/>
      </c>
      <c r="D102" t="str">
        <f>IF(DATA!D104="","",DATA!D104)</f>
        <v/>
      </c>
      <c r="E102" t="str">
        <f>IF(DATA!E104="","",DATA!E104)</f>
        <v/>
      </c>
      <c r="F102" t="str">
        <f>IF(DATA!F104="","",DATA!F104)</f>
        <v/>
      </c>
      <c r="G102" t="str">
        <f>IF(DATA!G104="","",DATA!G104)</f>
        <v/>
      </c>
      <c r="H102" t="str">
        <f>IF(DATA!H104="","",DATA!H104)</f>
        <v/>
      </c>
      <c r="I102" t="str">
        <f>IF(DATA!I104="","",DATA!I104)</f>
        <v/>
      </c>
      <c r="J102" t="str">
        <f>IF(DATA!J104="","",DATA!J104)</f>
        <v/>
      </c>
      <c r="L102" t="str">
        <f t="shared" si="30"/>
        <v/>
      </c>
      <c r="M102" t="str">
        <f t="shared" si="31"/>
        <v/>
      </c>
      <c r="N102" t="str">
        <f t="shared" si="32"/>
        <v/>
      </c>
      <c r="O102" t="str">
        <f t="shared" si="33"/>
        <v/>
      </c>
      <c r="P102" t="str">
        <f t="shared" si="34"/>
        <v/>
      </c>
      <c r="Q102" t="str">
        <f t="shared" si="35"/>
        <v/>
      </c>
      <c r="R102" t="str">
        <f t="shared" si="36"/>
        <v/>
      </c>
      <c r="S102" t="str">
        <f t="shared" si="37"/>
        <v/>
      </c>
      <c r="T102" t="str">
        <f t="shared" si="38"/>
        <v/>
      </c>
      <c r="U102" t="str">
        <f>IF(L102="","",L102*DATA!B4)</f>
        <v/>
      </c>
      <c r="V102" t="str">
        <f>IF(M102="","",M102*DATA!C4)</f>
        <v/>
      </c>
      <c r="W102" t="str">
        <f>IF(N102="","",N102*DATA!D4)</f>
        <v/>
      </c>
      <c r="X102" t="str">
        <f>IF(O102="","",O102*DATA!E4)</f>
        <v/>
      </c>
      <c r="Y102" t="str">
        <f>IF(P102="","",P102*DATA!F4)</f>
        <v/>
      </c>
      <c r="Z102" t="str">
        <f>IF(Q102="","",Q102*DATA!G4)</f>
        <v/>
      </c>
      <c r="AA102" t="str">
        <f>IF(R102="","",R102*DATA!H4)</f>
        <v/>
      </c>
      <c r="AB102" t="str">
        <f>IF(S102="","",S102*DATA!I4)</f>
        <v/>
      </c>
      <c r="AC102" t="str">
        <f>IF(T102="","",T102*DATA!J4)</f>
        <v/>
      </c>
      <c r="AD102" t="str">
        <f>IF(U102="","",SQRT(SUMPRODUCT((U102:AC102-#REF!)^2)))</f>
        <v/>
      </c>
      <c r="AE102" t="str">
        <f>IF(U102="","",SQRT(SUMPRODUCT((U102:AC102-U114:AC114)^2)))</f>
        <v/>
      </c>
      <c r="AF102" t="str">
        <f t="shared" si="39"/>
        <v/>
      </c>
    </row>
    <row r="103" spans="1:32" hidden="1" outlineLevel="1">
      <c r="A103" t="str">
        <f>IF(DATA!A105="","",DATA!A105)</f>
        <v/>
      </c>
      <c r="B103" t="str">
        <f>IF(DATA!B105="","",DATA!B105)</f>
        <v/>
      </c>
      <c r="C103" t="str">
        <f>IF(DATA!C105="","",DATA!C105)</f>
        <v/>
      </c>
      <c r="D103" t="str">
        <f>IF(DATA!D105="","",DATA!D105)</f>
        <v/>
      </c>
      <c r="E103" t="str">
        <f>IF(DATA!E105="","",DATA!E105)</f>
        <v/>
      </c>
      <c r="F103" t="str">
        <f>IF(DATA!F105="","",DATA!F105)</f>
        <v/>
      </c>
      <c r="G103" t="str">
        <f>IF(DATA!G105="","",DATA!G105)</f>
        <v/>
      </c>
      <c r="H103" t="str">
        <f>IF(DATA!H105="","",DATA!H105)</f>
        <v/>
      </c>
      <c r="I103" t="str">
        <f>IF(DATA!I105="","",DATA!I105)</f>
        <v/>
      </c>
      <c r="J103" t="str">
        <f>IF(DATA!J105="","",DATA!J105)</f>
        <v/>
      </c>
      <c r="L103" t="str">
        <f t="shared" si="30"/>
        <v/>
      </c>
      <c r="M103" t="str">
        <f t="shared" si="31"/>
        <v/>
      </c>
      <c r="N103" t="str">
        <f t="shared" si="32"/>
        <v/>
      </c>
      <c r="O103" t="str">
        <f t="shared" si="33"/>
        <v/>
      </c>
      <c r="P103" t="str">
        <f t="shared" si="34"/>
        <v/>
      </c>
      <c r="Q103" t="str">
        <f t="shared" si="35"/>
        <v/>
      </c>
      <c r="R103" t="str">
        <f t="shared" si="36"/>
        <v/>
      </c>
      <c r="S103" t="str">
        <f t="shared" si="37"/>
        <v/>
      </c>
      <c r="T103" t="str">
        <f t="shared" si="38"/>
        <v/>
      </c>
      <c r="U103" t="str">
        <f>IF(L103="","",L103*DATA!B4)</f>
        <v/>
      </c>
      <c r="V103" t="str">
        <f>IF(M103="","",M103*DATA!C4)</f>
        <v/>
      </c>
      <c r="W103" t="str">
        <f>IF(N103="","",N103*DATA!D4)</f>
        <v/>
      </c>
      <c r="X103" t="str">
        <f>IF(O103="","",O103*DATA!E4)</f>
        <v/>
      </c>
      <c r="Y103" t="str">
        <f>IF(P103="","",P103*DATA!F4)</f>
        <v/>
      </c>
      <c r="Z103" t="str">
        <f>IF(Q103="","",Q103*DATA!G4)</f>
        <v/>
      </c>
      <c r="AA103" t="str">
        <f>IF(R103="","",R103*DATA!H4)</f>
        <v/>
      </c>
      <c r="AB103" t="str">
        <f>IF(S103="","",S103*DATA!I4)</f>
        <v/>
      </c>
      <c r="AC103" t="str">
        <f>IF(T103="","",T103*DATA!J4)</f>
        <v/>
      </c>
      <c r="AD103" t="str">
        <f>IF(U103="","",SQRT(SUMPRODUCT((U103:AC103-#REF!)^2)))</f>
        <v/>
      </c>
      <c r="AE103" t="str">
        <f>IF(U103="","",SQRT(SUMPRODUCT((U103:AC103-U114:AC114)^2)))</f>
        <v/>
      </c>
      <c r="AF103" t="str">
        <f t="shared" si="39"/>
        <v/>
      </c>
    </row>
    <row r="104" spans="1:32" hidden="1" outlineLevel="1">
      <c r="A104" t="str">
        <f>IF(DATA!A106="","",DATA!A106)</f>
        <v/>
      </c>
      <c r="B104" t="str">
        <f>IF(DATA!B106="","",DATA!B106)</f>
        <v/>
      </c>
      <c r="C104" t="str">
        <f>IF(DATA!C106="","",DATA!C106)</f>
        <v/>
      </c>
      <c r="D104" t="str">
        <f>IF(DATA!D106="","",DATA!D106)</f>
        <v/>
      </c>
      <c r="E104" t="str">
        <f>IF(DATA!E106="","",DATA!E106)</f>
        <v/>
      </c>
      <c r="F104" t="str">
        <f>IF(DATA!F106="","",DATA!F106)</f>
        <v/>
      </c>
      <c r="G104" t="str">
        <f>IF(DATA!G106="","",DATA!G106)</f>
        <v/>
      </c>
      <c r="H104" t="str">
        <f>IF(DATA!H106="","",DATA!H106)</f>
        <v/>
      </c>
      <c r="I104" t="str">
        <f>IF(DATA!I106="","",DATA!I106)</f>
        <v/>
      </c>
      <c r="J104" t="str">
        <f>IF(DATA!J106="","",DATA!J106)</f>
        <v/>
      </c>
      <c r="L104" t="str">
        <f t="shared" si="30"/>
        <v/>
      </c>
      <c r="M104" t="str">
        <f t="shared" si="31"/>
        <v/>
      </c>
      <c r="N104" t="str">
        <f t="shared" si="32"/>
        <v/>
      </c>
      <c r="O104" t="str">
        <f t="shared" si="33"/>
        <v/>
      </c>
      <c r="P104" t="str">
        <f t="shared" si="34"/>
        <v/>
      </c>
      <c r="Q104" t="str">
        <f t="shared" si="35"/>
        <v/>
      </c>
      <c r="R104" t="str">
        <f t="shared" si="36"/>
        <v/>
      </c>
      <c r="S104" t="str">
        <f t="shared" si="37"/>
        <v/>
      </c>
      <c r="T104" t="str">
        <f t="shared" si="38"/>
        <v/>
      </c>
      <c r="U104" t="str">
        <f>IF(L104="","",L104*DATA!B4)</f>
        <v/>
      </c>
      <c r="V104" t="str">
        <f>IF(M104="","",M104*DATA!C4)</f>
        <v/>
      </c>
      <c r="W104" t="str">
        <f>IF(N104="","",N104*DATA!D4)</f>
        <v/>
      </c>
      <c r="X104" t="str">
        <f>IF(O104="","",O104*DATA!E4)</f>
        <v/>
      </c>
      <c r="Y104" t="str">
        <f>IF(P104="","",P104*DATA!F4)</f>
        <v/>
      </c>
      <c r="Z104" t="str">
        <f>IF(Q104="","",Q104*DATA!G4)</f>
        <v/>
      </c>
      <c r="AA104" t="str">
        <f>IF(R104="","",R104*DATA!H4)</f>
        <v/>
      </c>
      <c r="AB104" t="str">
        <f>IF(S104="","",S104*DATA!I4)</f>
        <v/>
      </c>
      <c r="AC104" t="str">
        <f>IF(T104="","",T104*DATA!J4)</f>
        <v/>
      </c>
      <c r="AD104" t="str">
        <f>IF(U104="","",SQRT(SUMPRODUCT((U104:AC104-#REF!)^2)))</f>
        <v/>
      </c>
      <c r="AE104" t="str">
        <f>IF(U104="","",SQRT(SUMPRODUCT((U104:AC104-U114:AC114)^2)))</f>
        <v/>
      </c>
      <c r="AF104" t="str">
        <f t="shared" si="39"/>
        <v/>
      </c>
    </row>
    <row r="105" spans="1:32" hidden="1" outlineLevel="1">
      <c r="A105" t="str">
        <f>IF(DATA!A107="","",DATA!A107)</f>
        <v/>
      </c>
      <c r="B105" t="str">
        <f>IF(DATA!B107="","",DATA!B107)</f>
        <v/>
      </c>
      <c r="C105" t="str">
        <f>IF(DATA!C107="","",DATA!C107)</f>
        <v/>
      </c>
      <c r="D105" t="str">
        <f>IF(DATA!D107="","",DATA!D107)</f>
        <v/>
      </c>
      <c r="E105" t="str">
        <f>IF(DATA!E107="","",DATA!E107)</f>
        <v/>
      </c>
      <c r="F105" t="str">
        <f>IF(DATA!F107="","",DATA!F107)</f>
        <v/>
      </c>
      <c r="G105" t="str">
        <f>IF(DATA!G107="","",DATA!G107)</f>
        <v/>
      </c>
      <c r="H105" t="str">
        <f>IF(DATA!H107="","",DATA!H107)</f>
        <v/>
      </c>
      <c r="I105" t="str">
        <f>IF(DATA!I107="","",DATA!I107)</f>
        <v/>
      </c>
      <c r="J105" t="str">
        <f>IF(DATA!J107="","",DATA!J107)</f>
        <v/>
      </c>
      <c r="L105" t="str">
        <f t="shared" si="30"/>
        <v/>
      </c>
      <c r="M105" t="str">
        <f t="shared" si="31"/>
        <v/>
      </c>
      <c r="N105" t="str">
        <f t="shared" si="32"/>
        <v/>
      </c>
      <c r="O105" t="str">
        <f t="shared" si="33"/>
        <v/>
      </c>
      <c r="P105" t="str">
        <f t="shared" si="34"/>
        <v/>
      </c>
      <c r="Q105" t="str">
        <f t="shared" si="35"/>
        <v/>
      </c>
      <c r="R105" t="str">
        <f t="shared" si="36"/>
        <v/>
      </c>
      <c r="S105" t="str">
        <f t="shared" si="37"/>
        <v/>
      </c>
      <c r="T105" t="str">
        <f t="shared" si="38"/>
        <v/>
      </c>
      <c r="U105" t="str">
        <f>IF(L105="","",L105*DATA!B4)</f>
        <v/>
      </c>
      <c r="V105" t="str">
        <f>IF(M105="","",M105*DATA!C4)</f>
        <v/>
      </c>
      <c r="W105" t="str">
        <f>IF(N105="","",N105*DATA!D4)</f>
        <v/>
      </c>
      <c r="X105" t="str">
        <f>IF(O105="","",O105*DATA!E4)</f>
        <v/>
      </c>
      <c r="Y105" t="str">
        <f>IF(P105="","",P105*DATA!F4)</f>
        <v/>
      </c>
      <c r="Z105" t="str">
        <f>IF(Q105="","",Q105*DATA!G4)</f>
        <v/>
      </c>
      <c r="AA105" t="str">
        <f>IF(R105="","",R105*DATA!H4)</f>
        <v/>
      </c>
      <c r="AB105" t="str">
        <f>IF(S105="","",S105*DATA!I4)</f>
        <v/>
      </c>
      <c r="AC105" t="str">
        <f>IF(T105="","",T105*DATA!J4)</f>
        <v/>
      </c>
      <c r="AD105" t="str">
        <f>IF(U105="","",SQRT(SUMPRODUCT((U105:AC105-#REF!)^2)))</f>
        <v/>
      </c>
      <c r="AE105" t="str">
        <f>IF(U105="","",SQRT(SUMPRODUCT((U105:AC105-U114:AC114)^2)))</f>
        <v/>
      </c>
      <c r="AF105" t="str">
        <f t="shared" si="39"/>
        <v/>
      </c>
    </row>
    <row r="106" spans="1:32" hidden="1" outlineLevel="1"/>
    <row r="107" spans="1:32" hidden="1" outlineLevel="1"/>
    <row r="108" spans="1:32" collapsed="1"/>
    <row r="112" spans="1:32" ht="15" customHeight="1">
      <c r="A112" s="2" t="s">
        <v>86</v>
      </c>
    </row>
    <row r="113" spans="1:29" ht="15" customHeight="1" outlineLevel="1">
      <c r="A113" t="s">
        <v>87</v>
      </c>
      <c r="U113">
        <f>IF(B2="benefice",_xlfn.MAXIFS(U6:U105, A6:A105, "&lt;&gt;"),_xlfn.MINIFS(U6:U105, A6:A105, "&lt;&gt;")
)</f>
        <v>1.1281741933970607E-2</v>
      </c>
      <c r="V113">
        <f t="shared" ref="V113:AC113" si="40">IF(C2="benefice",_xlfn.MAXIFS(V6:V105, B6:B105, "&lt;&gt;"),_xlfn.MINIFS(V6:V105, B6:B105, "&lt;&gt;")
)</f>
        <v>1.6103129406103332E-2</v>
      </c>
      <c r="W113">
        <f t="shared" si="40"/>
        <v>8.8497349938787023E-2</v>
      </c>
      <c r="X113">
        <f t="shared" si="40"/>
        <v>7.743895823455943E-2</v>
      </c>
      <c r="Y113">
        <f t="shared" si="40"/>
        <v>0.11014825019490272</v>
      </c>
      <c r="Z113">
        <f t="shared" si="40"/>
        <v>8.5583883624069254E-2</v>
      </c>
      <c r="AA113">
        <f t="shared" si="40"/>
        <v>6.6912729079585676E-2</v>
      </c>
      <c r="AB113">
        <f t="shared" si="40"/>
        <v>1.0680479323245902E-2</v>
      </c>
      <c r="AC113">
        <f t="shared" si="40"/>
        <v>1.1720464135021097E-2</v>
      </c>
    </row>
    <row r="114" spans="1:29" outlineLevel="1">
      <c r="A114" t="s">
        <v>88</v>
      </c>
      <c r="U114">
        <f>IF(B2="benefice",_xlfn.MINIFS(U6:U105, A6:A105, "&lt;&gt;"),_xlfn.MAXIFS(U6:U105, A6:A105, "&lt;&gt;")
)</f>
        <v>9.5246756941268412E-2</v>
      </c>
      <c r="V114">
        <f t="shared" ref="V114:AC114" si="41">IF(C2="benefice",_xlfn.MINIFS(V6:V105, B6:B105, "&lt;&gt;"),_xlfn.MAXIFS(V6:V105, B6:B105, "&lt;&gt;")
)</f>
        <v>9.8024282499827115E-2</v>
      </c>
      <c r="W114">
        <f t="shared" si="41"/>
        <v>5.3098409963272209E-3</v>
      </c>
      <c r="X114">
        <f t="shared" si="41"/>
        <v>1.196948768965087E-2</v>
      </c>
      <c r="Y114">
        <f t="shared" si="41"/>
        <v>3.1105289164354297E-3</v>
      </c>
      <c r="Z114">
        <f t="shared" si="41"/>
        <v>5.5629524355645015E-3</v>
      </c>
      <c r="AA114">
        <f t="shared" si="41"/>
        <v>1.1981618154746748E-2</v>
      </c>
      <c r="AB114">
        <f t="shared" si="41"/>
        <v>0.1254418712461767</v>
      </c>
      <c r="AC114">
        <f t="shared" si="41"/>
        <v>9.6012459618542309E-2</v>
      </c>
    </row>
    <row r="115" spans="1:29" outlineLevel="1"/>
    <row r="116" spans="1:29" outlineLevel="1"/>
    <row r="117" spans="1:29" outlineLevel="1"/>
    <row r="118" spans="1:29" outlineLevel="1">
      <c r="M118" s="28" t="s">
        <v>89</v>
      </c>
      <c r="N118" s="28"/>
      <c r="O118" s="28"/>
      <c r="P118" s="28"/>
      <c r="Q118" s="28"/>
      <c r="R118" s="28"/>
    </row>
    <row r="119" spans="1:29" outlineLevel="1">
      <c r="M119" s="28"/>
      <c r="N119" s="28"/>
      <c r="O119" s="28"/>
      <c r="P119" s="28"/>
      <c r="Q119" s="28"/>
      <c r="R119" s="28"/>
    </row>
    <row r="120" spans="1:29" ht="32.25" customHeight="1" outlineLevel="1">
      <c r="A120" s="11"/>
      <c r="J120" s="30" t="s">
        <v>90</v>
      </c>
      <c r="K120" s="30"/>
      <c r="L120" s="14" cm="1">
        <f t="array" ref="L120">_xlfn.STDEV.S(IF(($A$6:$A$105&lt;&gt;"")*(L6:L105&lt;&gt;0),L6:L105))</f>
        <v>0.299737626948824</v>
      </c>
      <c r="M120" s="14" cm="1">
        <f t="array" ref="M120">_xlfn.STDEV.S(IF(($A$6:$A$105&lt;&gt;"")*(M6:M105&lt;&gt;0),M6:M105))</f>
        <v>0.26981086865626047</v>
      </c>
      <c r="N120" s="14" cm="1">
        <f t="array" ref="N120">_xlfn.STDEV.S(IF(($A$6:$A$105&lt;&gt;"")*(N6:N105&lt;&gt;0),N6:N105))</f>
        <v>0.26526656575625468</v>
      </c>
      <c r="O120" s="14" cm="1">
        <f t="array" ref="O120">_xlfn.STDEV.S(IF(($A$6:$A$105&lt;&gt;"")*(O6:O105&lt;&gt;0),O6:O105))</f>
        <v>0.24269297311427818</v>
      </c>
      <c r="P120" s="14" cm="1">
        <f t="array" ref="P120">_xlfn.STDEV.S(IF(($A$6:$A$105&lt;&gt;"")*(P6:P105&lt;&gt;0),P6:P105))</f>
        <v>0.35622138445241164</v>
      </c>
      <c r="Q120" s="14" cm="1">
        <f t="array" ref="Q120">_xlfn.STDEV.S(IF(($A$6:$A$105&lt;&gt;"")*(Q6:Q105&lt;&gt;0),Q6:Q105))</f>
        <v>0.25901743541263994</v>
      </c>
      <c r="R120" s="14" cm="1">
        <f t="array" ref="R120">_xlfn.STDEV.S(IF(($A$6:$A$105&lt;&gt;"")*(R6:R105&lt;&gt;0),R6:R105))</f>
        <v>0.23252488672417984</v>
      </c>
      <c r="S120" s="14" cm="1">
        <f t="array" ref="S120">_xlfn.STDEV.S(IF(($A$6:$A$105&lt;&gt;"")*(S6:S105&lt;&gt;0),S6:S105))</f>
        <v>0.16295388846554476</v>
      </c>
      <c r="T120" s="14" cm="1">
        <f t="array" ref="T120">_xlfn.STDEV.S(IF(($A$6:$A$105&lt;&gt;"")*(T6:T105&lt;&gt;0),T6:T105))</f>
        <v>0.26801118640993266</v>
      </c>
    </row>
    <row r="121" spans="1:29" outlineLevel="1"/>
    <row r="122" spans="1:29" outlineLevel="1">
      <c r="J122" t="s">
        <v>91</v>
      </c>
      <c r="L122" t="s">
        <v>92</v>
      </c>
      <c r="M122" t="s">
        <v>93</v>
      </c>
      <c r="N122" t="s">
        <v>94</v>
      </c>
      <c r="O122" t="s">
        <v>95</v>
      </c>
      <c r="P122" t="s">
        <v>96</v>
      </c>
      <c r="Q122" t="s">
        <v>97</v>
      </c>
      <c r="R122" t="s">
        <v>98</v>
      </c>
      <c r="S122" t="s">
        <v>99</v>
      </c>
      <c r="T122" t="s">
        <v>100</v>
      </c>
    </row>
    <row r="123" spans="1:29" outlineLevel="1">
      <c r="K123" t="s">
        <v>101</v>
      </c>
      <c r="L123" cm="1">
        <f t="array" ref="L123">CORREL(IF($A$6:$A$105&lt;&gt;"", INDEX($L$6:$T$105, 0, ROW()-122)),IF($A$6:$A$105&lt;&gt;"", INDEX($L$6:$T$105, 0, COLUMN()-COLUMN($L$123)+1))
)</f>
        <v>1</v>
      </c>
      <c r="M123" cm="1">
        <f t="array" ref="M123">CORREL(IF($A$6:$A$105&lt;&gt;"", INDEX($L$6:$T$105, 0, ROW()-122)),IF($A$6:$A$105&lt;&gt;"", INDEX($L$6:$T$105, 0, COLUMN()-COLUMN($L$123)+1))
)</f>
        <v>-0.1611808117866903</v>
      </c>
      <c r="N123" cm="1">
        <f t="array" ref="N123">CORREL(IF($A$6:$A$105&lt;&gt;"", INDEX($L$6:$T$105, 0, ROW()-122)),IF($A$6:$A$105&lt;&gt;"", INDEX($L$6:$T$105, 0, COLUMN()-COLUMN($L$123)+1))
)</f>
        <v>0.35559472109153323</v>
      </c>
      <c r="O123" cm="1">
        <f t="array" ref="O123">CORREL(IF($A$6:$A$105&lt;&gt;"", INDEX($L$6:$T$105, 0, ROW()-122)),IF($A$6:$A$105&lt;&gt;"", INDEX($L$6:$T$105, 0, COLUMN()-COLUMN($L$123)+1))
)</f>
        <v>0.84894184900269232</v>
      </c>
      <c r="P123" cm="1">
        <f t="array" ref="P123">CORREL(IF($A$6:$A$105&lt;&gt;"", INDEX($L$6:$T$105, 0, ROW()-122)),IF($A$6:$A$105&lt;&gt;"", INDEX($L$6:$T$105, 0, COLUMN()-COLUMN($L$123)+1))
)</f>
        <v>-0.18644223523858858</v>
      </c>
      <c r="Q123" cm="1">
        <f t="array" ref="Q123">CORREL(IF($A$6:$A$105&lt;&gt;"", INDEX($L$6:$T$105, 0, ROW()-122)),IF($A$6:$A$105&lt;&gt;"", INDEX($L$6:$T$105, 0, COLUMN()-COLUMN($L$123)+1))
)</f>
        <v>0.41442837386671288</v>
      </c>
      <c r="R123" cm="1">
        <f t="array" ref="R123">CORREL(IF($A$6:$A$105&lt;&gt;"", INDEX($L$6:$T$105, 0, ROW()-122)),IF($A$6:$A$105&lt;&gt;"", INDEX($L$6:$T$105, 0, COLUMN()-COLUMN($L$123)+1))
)</f>
        <v>0.82187003608380516</v>
      </c>
      <c r="S123" cm="1">
        <f t="array" ref="S123">CORREL(IF($A$6:$A$105&lt;&gt;"", INDEX($L$6:$T$105, 0, ROW()-122)),IF($A$6:$A$105&lt;&gt;"", INDEX($L$6:$T$105, 0, COLUMN()-COLUMN($L$123)+1))
)</f>
        <v>-0.81483910192023123</v>
      </c>
      <c r="T123" cm="1">
        <f t="array" ref="T123">CORREL(IF($A$6:$A$105&lt;&gt;"", INDEX($L$6:$T$105, 0, ROW()-122)),IF($A$6:$A$105&lt;&gt;"", INDEX($L$6:$T$105, 0, COLUMN()-COLUMN($L$123)+1))
)</f>
        <v>0.97757508933650883</v>
      </c>
    </row>
    <row r="124" spans="1:29" outlineLevel="1">
      <c r="L124" cm="1">
        <f t="array" ref="L124">CORREL(IF($A$6:$A$105&lt;&gt;"", INDEX($L$6:$T$105, 0, ROW()-122)),IF($A$6:$A$105&lt;&gt;"", INDEX($L$6:$T$105, 0, COLUMN()-COLUMN($L$123)+1))
)</f>
        <v>-0.1611808117866903</v>
      </c>
      <c r="M124" cm="1">
        <f t="array" ref="M124">CORREL(IF($A$6:$A$105&lt;&gt;"", INDEX($L$6:$T$105, 0, ROW()-122)),IF($A$6:$A$105&lt;&gt;"", INDEX($L$6:$T$105, 0, COLUMN()-COLUMN($L$123)+1))
)</f>
        <v>1</v>
      </c>
      <c r="N124" cm="1">
        <f t="array" ref="N124">CORREL(IF($A$6:$A$105&lt;&gt;"", INDEX($L$6:$T$105, 0, ROW()-122)),IF($A$6:$A$105&lt;&gt;"", INDEX($L$6:$T$105, 0, COLUMN()-COLUMN($L$123)+1))
)</f>
        <v>0.85774522261873132</v>
      </c>
      <c r="O124" cm="1">
        <f t="array" ref="O124">CORREL(IF($A$6:$A$105&lt;&gt;"", INDEX($L$6:$T$105, 0, ROW()-122)),IF($A$6:$A$105&lt;&gt;"", INDEX($L$6:$T$105, 0, COLUMN()-COLUMN($L$123)+1))
)</f>
        <v>-8.3823449299204211E-2</v>
      </c>
      <c r="P124" cm="1">
        <f t="array" ref="P124">CORREL(IF($A$6:$A$105&lt;&gt;"", INDEX($L$6:$T$105, 0, ROW()-122)),IF($A$6:$A$105&lt;&gt;"", INDEX($L$6:$T$105, 0, COLUMN()-COLUMN($L$123)+1))
)</f>
        <v>0.98383922048186612</v>
      </c>
      <c r="Q124" cm="1">
        <f t="array" ref="Q124">CORREL(IF($A$6:$A$105&lt;&gt;"", INDEX($L$6:$T$105, 0, ROW()-122)),IF($A$6:$A$105&lt;&gt;"", INDEX($L$6:$T$105, 0, COLUMN()-COLUMN($L$123)+1))
)</f>
        <v>0.81995905653993051</v>
      </c>
      <c r="R124" cm="1">
        <f t="array" ref="R124">CORREL(IF($A$6:$A$105&lt;&gt;"", INDEX($L$6:$T$105, 0, ROW()-122)),IF($A$6:$A$105&lt;&gt;"", INDEX($L$6:$T$105, 0, COLUMN()-COLUMN($L$123)+1))
)</f>
        <v>9.2539208749328708E-2</v>
      </c>
      <c r="S124" cm="1">
        <f t="array" ref="S124">CORREL(IF($A$6:$A$105&lt;&gt;"", INDEX($L$6:$T$105, 0, ROW()-122)),IF($A$6:$A$105&lt;&gt;"", INDEX($L$6:$T$105, 0, COLUMN()-COLUMN($L$123)+1))
)</f>
        <v>-0.17579335230831969</v>
      </c>
      <c r="T124" cm="1">
        <f t="array" ref="T124">CORREL(IF($A$6:$A$105&lt;&gt;"", INDEX($L$6:$T$105, 0, ROW()-122)),IF($A$6:$A$105&lt;&gt;"", INDEX($L$6:$T$105, 0, COLUMN()-COLUMN($L$123)+1))
)</f>
        <v>-0.25545577264482555</v>
      </c>
    </row>
    <row r="125" spans="1:29" outlineLevel="1">
      <c r="L125" cm="1">
        <f t="array" ref="L125">CORREL(IF($A$6:$A$105&lt;&gt;"", INDEX($L$6:$T$105, 0, ROW()-122)),IF($A$6:$A$105&lt;&gt;"", INDEX($L$6:$T$105, 0, COLUMN()-COLUMN($L$123)+1))
)</f>
        <v>0.35559472109153323</v>
      </c>
      <c r="M125" cm="1">
        <f t="array" ref="M125">CORREL(IF($A$6:$A$105&lt;&gt;"", INDEX($L$6:$T$105, 0, ROW()-122)),IF($A$6:$A$105&lt;&gt;"", INDEX($L$6:$T$105, 0, COLUMN()-COLUMN($L$123)+1))
)</f>
        <v>0.85774522261873132</v>
      </c>
      <c r="N125" cm="1">
        <f t="array" ref="N125">CORREL(IF($A$6:$A$105&lt;&gt;"", INDEX($L$6:$T$105, 0, ROW()-122)),IF($A$6:$A$105&lt;&gt;"", INDEX($L$6:$T$105, 0, COLUMN()-COLUMN($L$123)+1))
)</f>
        <v>0.99999999999999989</v>
      </c>
      <c r="O125" cm="1">
        <f t="array" ref="O125">CORREL(IF($A$6:$A$105&lt;&gt;"", INDEX($L$6:$T$105, 0, ROW()-122)),IF($A$6:$A$105&lt;&gt;"", INDEX($L$6:$T$105, 0, COLUMN()-COLUMN($L$123)+1))
)</f>
        <v>0.38722957398930619</v>
      </c>
      <c r="P125" cm="1">
        <f t="array" ref="P125">CORREL(IF($A$6:$A$105&lt;&gt;"", INDEX($L$6:$T$105, 0, ROW()-122)),IF($A$6:$A$105&lt;&gt;"", INDEX($L$6:$T$105, 0, COLUMN()-COLUMN($L$123)+1))
)</f>
        <v>0.83816896377901484</v>
      </c>
      <c r="Q125" cm="1">
        <f t="array" ref="Q125">CORREL(IF($A$6:$A$105&lt;&gt;"", INDEX($L$6:$T$105, 0, ROW()-122)),IF($A$6:$A$105&lt;&gt;"", INDEX($L$6:$T$105, 0, COLUMN()-COLUMN($L$123)+1))
)</f>
        <v>0.99741554844478819</v>
      </c>
      <c r="R125" cm="1">
        <f t="array" ref="R125">CORREL(IF($A$6:$A$105&lt;&gt;"", INDEX($L$6:$T$105, 0, ROW()-122)),IF($A$6:$A$105&lt;&gt;"", INDEX($L$6:$T$105, 0, COLUMN()-COLUMN($L$123)+1))
)</f>
        <v>0.53960701784592724</v>
      </c>
      <c r="S125" cm="1">
        <f t="array" ref="S125">CORREL(IF($A$6:$A$105&lt;&gt;"", INDEX($L$6:$T$105, 0, ROW()-122)),IF($A$6:$A$105&lt;&gt;"", INDEX($L$6:$T$105, 0, COLUMN()-COLUMN($L$123)+1))
)</f>
        <v>-0.61086589373582123</v>
      </c>
      <c r="T125" cm="1">
        <f t="array" ref="T125">CORREL(IF($A$6:$A$105&lt;&gt;"", INDEX($L$6:$T$105, 0, ROW()-122)),IF($A$6:$A$105&lt;&gt;"", INDEX($L$6:$T$105, 0, COLUMN()-COLUMN($L$123)+1))
)</f>
        <v>0.2476373086688311</v>
      </c>
    </row>
    <row r="126" spans="1:29" outlineLevel="1">
      <c r="L126" cm="1">
        <f t="array" ref="L126">CORREL(IF($A$6:$A$105&lt;&gt;"", INDEX($L$6:$T$105, 0, ROW()-122)),IF($A$6:$A$105&lt;&gt;"", INDEX($L$6:$T$105, 0, COLUMN()-COLUMN($L$123)+1))
)</f>
        <v>0.84894184900269232</v>
      </c>
      <c r="M126" cm="1">
        <f t="array" ref="M126">CORREL(IF($A$6:$A$105&lt;&gt;"", INDEX($L$6:$T$105, 0, ROW()-122)),IF($A$6:$A$105&lt;&gt;"", INDEX($L$6:$T$105, 0, COLUMN()-COLUMN($L$123)+1))
)</f>
        <v>-8.3823449299204211E-2</v>
      </c>
      <c r="N126" cm="1">
        <f t="array" ref="N126">CORREL(IF($A$6:$A$105&lt;&gt;"", INDEX($L$6:$T$105, 0, ROW()-122)),IF($A$6:$A$105&lt;&gt;"", INDEX($L$6:$T$105, 0, COLUMN()-COLUMN($L$123)+1))
)</f>
        <v>0.38722957398930619</v>
      </c>
      <c r="O126" cm="1">
        <f t="array" ref="O126">CORREL(IF($A$6:$A$105&lt;&gt;"", INDEX($L$6:$T$105, 0, ROW()-122)),IF($A$6:$A$105&lt;&gt;"", INDEX($L$6:$T$105, 0, COLUMN()-COLUMN($L$123)+1))
)</f>
        <v>1</v>
      </c>
      <c r="P126" cm="1">
        <f t="array" ref="P126">CORREL(IF($A$6:$A$105&lt;&gt;"", INDEX($L$6:$T$105, 0, ROW()-122)),IF($A$6:$A$105&lt;&gt;"", INDEX($L$6:$T$105, 0, COLUMN()-COLUMN($L$123)+1))
)</f>
        <v>-8.2644052439114601E-2</v>
      </c>
      <c r="Q126" cm="1">
        <f t="array" ref="Q126">CORREL(IF($A$6:$A$105&lt;&gt;"", INDEX($L$6:$T$105, 0, ROW()-122)),IF($A$6:$A$105&lt;&gt;"", INDEX($L$6:$T$105, 0, COLUMN()-COLUMN($L$123)+1))
)</f>
        <v>0.44654187379877119</v>
      </c>
      <c r="R126" cm="1">
        <f t="array" ref="R126">CORREL(IF($A$6:$A$105&lt;&gt;"", INDEX($L$6:$T$105, 0, ROW()-122)),IF($A$6:$A$105&lt;&gt;"", INDEX($L$6:$T$105, 0, COLUMN()-COLUMN($L$123)+1))
)</f>
        <v>0.98435497531150307</v>
      </c>
      <c r="S126" cm="1">
        <f t="array" ref="S126">CORREL(IF($A$6:$A$105&lt;&gt;"", INDEX($L$6:$T$105, 0, ROW()-122)),IF($A$6:$A$105&lt;&gt;"", INDEX($L$6:$T$105, 0, COLUMN()-COLUMN($L$123)+1))
)</f>
        <v>-0.64404837397614934</v>
      </c>
      <c r="T126" cm="1">
        <f t="array" ref="T126">CORREL(IF($A$6:$A$105&lt;&gt;"", INDEX($L$6:$T$105, 0, ROW()-122)),IF($A$6:$A$105&lt;&gt;"", INDEX($L$6:$T$105, 0, COLUMN()-COLUMN($L$123)+1))
)</f>
        <v>0.76206920386749066</v>
      </c>
    </row>
    <row r="127" spans="1:29" outlineLevel="1">
      <c r="L127" cm="1">
        <f t="array" ref="L127">CORREL(IF($A$6:$A$105&lt;&gt;"", INDEX($L$6:$T$105, 0, ROW()-122)),IF($A$6:$A$105&lt;&gt;"", INDEX($L$6:$T$105, 0, COLUMN()-COLUMN($L$123)+1))
)</f>
        <v>-0.18644223523858858</v>
      </c>
      <c r="M127" cm="1">
        <f t="array" ref="M127">CORREL(IF($A$6:$A$105&lt;&gt;"", INDEX($L$6:$T$105, 0, ROW()-122)),IF($A$6:$A$105&lt;&gt;"", INDEX($L$6:$T$105, 0, COLUMN()-COLUMN($L$123)+1))
)</f>
        <v>0.98383922048186612</v>
      </c>
      <c r="N127" cm="1">
        <f t="array" ref="N127">CORREL(IF($A$6:$A$105&lt;&gt;"", INDEX($L$6:$T$105, 0, ROW()-122)),IF($A$6:$A$105&lt;&gt;"", INDEX($L$6:$T$105, 0, COLUMN()-COLUMN($L$123)+1))
)</f>
        <v>0.83816896377901484</v>
      </c>
      <c r="O127" cm="1">
        <f t="array" ref="O127">CORREL(IF($A$6:$A$105&lt;&gt;"", INDEX($L$6:$T$105, 0, ROW()-122)),IF($A$6:$A$105&lt;&gt;"", INDEX($L$6:$T$105, 0, COLUMN()-COLUMN($L$123)+1))
)</f>
        <v>-8.2644052439114601E-2</v>
      </c>
      <c r="P127" cm="1">
        <f t="array" ref="P127">CORREL(IF($A$6:$A$105&lt;&gt;"", INDEX($L$6:$T$105, 0, ROW()-122)),IF($A$6:$A$105&lt;&gt;"", INDEX($L$6:$T$105, 0, COLUMN()-COLUMN($L$123)+1))
)</f>
        <v>0.99999999999999989</v>
      </c>
      <c r="Q127" cm="1">
        <f t="array" ref="Q127">CORREL(IF($A$6:$A$105&lt;&gt;"", INDEX($L$6:$T$105, 0, ROW()-122)),IF($A$6:$A$105&lt;&gt;"", INDEX($L$6:$T$105, 0, COLUMN()-COLUMN($L$123)+1))
)</f>
        <v>0.8032347323606428</v>
      </c>
      <c r="R127" cm="1">
        <f t="array" ref="R127">CORREL(IF($A$6:$A$105&lt;&gt;"", INDEX($L$6:$T$105, 0, ROW()-122)),IF($A$6:$A$105&lt;&gt;"", INDEX($L$6:$T$105, 0, COLUMN()-COLUMN($L$123)+1))
)</f>
        <v>9.2816485548593536E-2</v>
      </c>
      <c r="S127" cm="1">
        <f t="array" ref="S127">CORREL(IF($A$6:$A$105&lt;&gt;"", INDEX($L$6:$T$105, 0, ROW()-122)),IF($A$6:$A$105&lt;&gt;"", INDEX($L$6:$T$105, 0, COLUMN()-COLUMN($L$123)+1))
)</f>
        <v>-0.19360149598935014</v>
      </c>
      <c r="T127" cm="1">
        <f t="array" ref="T127">CORREL(IF($A$6:$A$105&lt;&gt;"", INDEX($L$6:$T$105, 0, ROW()-122)),IF($A$6:$A$105&lt;&gt;"", INDEX($L$6:$T$105, 0, COLUMN()-COLUMN($L$123)+1))
)</f>
        <v>-0.30640818833049976</v>
      </c>
    </row>
    <row r="128" spans="1:29" outlineLevel="1">
      <c r="L128" cm="1">
        <f t="array" ref="L128">CORREL(IF($A$6:$A$105&lt;&gt;"", INDEX($L$6:$T$105, 0, ROW()-122)),IF($A$6:$A$105&lt;&gt;"", INDEX($L$6:$T$105, 0, COLUMN()-COLUMN($L$123)+1))
)</f>
        <v>0.41442837386671288</v>
      </c>
      <c r="M128" cm="1">
        <f t="array" ref="M128">CORREL(IF($A$6:$A$105&lt;&gt;"", INDEX($L$6:$T$105, 0, ROW()-122)),IF($A$6:$A$105&lt;&gt;"", INDEX($L$6:$T$105, 0, COLUMN()-COLUMN($L$123)+1))
)</f>
        <v>0.81995905653993051</v>
      </c>
      <c r="N128" cm="1">
        <f t="array" ref="N128">CORREL(IF($A$6:$A$105&lt;&gt;"", INDEX($L$6:$T$105, 0, ROW()-122)),IF($A$6:$A$105&lt;&gt;"", INDEX($L$6:$T$105, 0, COLUMN()-COLUMN($L$123)+1))
)</f>
        <v>0.99741554844478819</v>
      </c>
      <c r="O128" cm="1">
        <f t="array" ref="O128">CORREL(IF($A$6:$A$105&lt;&gt;"", INDEX($L$6:$T$105, 0, ROW()-122)),IF($A$6:$A$105&lt;&gt;"", INDEX($L$6:$T$105, 0, COLUMN()-COLUMN($L$123)+1))
)</f>
        <v>0.44654187379877119</v>
      </c>
      <c r="P128" cm="1">
        <f t="array" ref="P128">CORREL(IF($A$6:$A$105&lt;&gt;"", INDEX($L$6:$T$105, 0, ROW()-122)),IF($A$6:$A$105&lt;&gt;"", INDEX($L$6:$T$105, 0, COLUMN()-COLUMN($L$123)+1))
)</f>
        <v>0.8032347323606428</v>
      </c>
      <c r="Q128" cm="1">
        <f t="array" ref="Q128">CORREL(IF($A$6:$A$105&lt;&gt;"", INDEX($L$6:$T$105, 0, ROW()-122)),IF($A$6:$A$105&lt;&gt;"", INDEX($L$6:$T$105, 0, COLUMN()-COLUMN($L$123)+1))
)</f>
        <v>0.99999999999999989</v>
      </c>
      <c r="R128" cm="1">
        <f t="array" ref="R128">CORREL(IF($A$6:$A$105&lt;&gt;"", INDEX($L$6:$T$105, 0, ROW()-122)),IF($A$6:$A$105&lt;&gt;"", INDEX($L$6:$T$105, 0, COLUMN()-COLUMN($L$123)+1))
)</f>
        <v>0.59249303724365865</v>
      </c>
      <c r="S128" cm="1">
        <f t="array" ref="S128">CORREL(IF($A$6:$A$105&lt;&gt;"", INDEX($L$6:$T$105, 0, ROW()-122)),IF($A$6:$A$105&lt;&gt;"", INDEX($L$6:$T$105, 0, COLUMN()-COLUMN($L$123)+1))
)</f>
        <v>-0.65600978567838164</v>
      </c>
      <c r="T128" cm="1">
        <f t="array" ref="T128">CORREL(IF($A$6:$A$105&lt;&gt;"", INDEX($L$6:$T$105, 0, ROW()-122)),IF($A$6:$A$105&lt;&gt;"", INDEX($L$6:$T$105, 0, COLUMN()-COLUMN($L$123)+1))
)</f>
        <v>0.30398516266119874</v>
      </c>
    </row>
    <row r="129" spans="10:20" outlineLevel="1">
      <c r="L129" cm="1">
        <f t="array" ref="L129">CORREL(IF($A$6:$A$105&lt;&gt;"", INDEX($L$6:$T$105, 0, ROW()-122)),IF($A$6:$A$105&lt;&gt;"", INDEX($L$6:$T$105, 0, COLUMN()-COLUMN($L$123)+1))
)</f>
        <v>0.82187003608380516</v>
      </c>
      <c r="M129" cm="1">
        <f t="array" ref="M129">CORREL(IF($A$6:$A$105&lt;&gt;"", INDEX($L$6:$T$105, 0, ROW()-122)),IF($A$6:$A$105&lt;&gt;"", INDEX($L$6:$T$105, 0, COLUMN()-COLUMN($L$123)+1))
)</f>
        <v>9.2539208749328708E-2</v>
      </c>
      <c r="N129" cm="1">
        <f t="array" ref="N129">CORREL(IF($A$6:$A$105&lt;&gt;"", INDEX($L$6:$T$105, 0, ROW()-122)),IF($A$6:$A$105&lt;&gt;"", INDEX($L$6:$T$105, 0, COLUMN()-COLUMN($L$123)+1))
)</f>
        <v>0.53960701784592724</v>
      </c>
      <c r="O129" cm="1">
        <f t="array" ref="O129">CORREL(IF($A$6:$A$105&lt;&gt;"", INDEX($L$6:$T$105, 0, ROW()-122)),IF($A$6:$A$105&lt;&gt;"", INDEX($L$6:$T$105, 0, COLUMN()-COLUMN($L$123)+1))
)</f>
        <v>0.98435497531150307</v>
      </c>
      <c r="P129" cm="1">
        <f t="array" ref="P129">CORREL(IF($A$6:$A$105&lt;&gt;"", INDEX($L$6:$T$105, 0, ROW()-122)),IF($A$6:$A$105&lt;&gt;"", INDEX($L$6:$T$105, 0, COLUMN()-COLUMN($L$123)+1))
)</f>
        <v>9.2816485548593536E-2</v>
      </c>
      <c r="Q129" cm="1">
        <f t="array" ref="Q129">CORREL(IF($A$6:$A$105&lt;&gt;"", INDEX($L$6:$T$105, 0, ROW()-122)),IF($A$6:$A$105&lt;&gt;"", INDEX($L$6:$T$105, 0, COLUMN()-COLUMN($L$123)+1))
)</f>
        <v>0.59249303724365865</v>
      </c>
      <c r="R129" cm="1">
        <f t="array" ref="R129">CORREL(IF($A$6:$A$105&lt;&gt;"", INDEX($L$6:$T$105, 0, ROW()-122)),IF($A$6:$A$105&lt;&gt;"", INDEX($L$6:$T$105, 0, COLUMN()-COLUMN($L$123)+1))
)</f>
        <v>0.99999999999999989</v>
      </c>
      <c r="S129" cm="1">
        <f t="array" ref="S129">CORREL(IF($A$6:$A$105&lt;&gt;"", INDEX($L$6:$T$105, 0, ROW()-122)),IF($A$6:$A$105&lt;&gt;"", INDEX($L$6:$T$105, 0, COLUMN()-COLUMN($L$123)+1))
)</f>
        <v>-0.68156519685825745</v>
      </c>
      <c r="T129" cm="1">
        <f t="array" ref="T129">CORREL(IF($A$6:$A$105&lt;&gt;"", INDEX($L$6:$T$105, 0, ROW()-122)),IF($A$6:$A$105&lt;&gt;"", INDEX($L$6:$T$105, 0, COLUMN()-COLUMN($L$123)+1))
)</f>
        <v>0.71721338879973184</v>
      </c>
    </row>
    <row r="130" spans="10:20" outlineLevel="1">
      <c r="L130" cm="1">
        <f t="array" ref="L130">CORREL(IF($A$6:$A$105&lt;&gt;"", INDEX($L$6:$T$105, 0, ROW()-122)),IF($A$6:$A$105&lt;&gt;"", INDEX($L$6:$T$105, 0, COLUMN()-COLUMN($L$123)+1))
)</f>
        <v>-0.81483910192023123</v>
      </c>
      <c r="M130" cm="1">
        <f t="array" ref="M130">CORREL(IF($A$6:$A$105&lt;&gt;"", INDEX($L$6:$T$105, 0, ROW()-122)),IF($A$6:$A$105&lt;&gt;"", INDEX($L$6:$T$105, 0, COLUMN()-COLUMN($L$123)+1))
)</f>
        <v>-0.17579335230831969</v>
      </c>
      <c r="N130" cm="1">
        <f t="array" ref="N130">CORREL(IF($A$6:$A$105&lt;&gt;"", INDEX($L$6:$T$105, 0, ROW()-122)),IF($A$6:$A$105&lt;&gt;"", INDEX($L$6:$T$105, 0, COLUMN()-COLUMN($L$123)+1))
)</f>
        <v>-0.61086589373582123</v>
      </c>
      <c r="O130" cm="1">
        <f t="array" ref="O130">CORREL(IF($A$6:$A$105&lt;&gt;"", INDEX($L$6:$T$105, 0, ROW()-122)),IF($A$6:$A$105&lt;&gt;"", INDEX($L$6:$T$105, 0, COLUMN()-COLUMN($L$123)+1))
)</f>
        <v>-0.64404837397614934</v>
      </c>
      <c r="P130" cm="1">
        <f t="array" ref="P130">CORREL(IF($A$6:$A$105&lt;&gt;"", INDEX($L$6:$T$105, 0, ROW()-122)),IF($A$6:$A$105&lt;&gt;"", INDEX($L$6:$T$105, 0, COLUMN()-COLUMN($L$123)+1))
)</f>
        <v>-0.19360149598935014</v>
      </c>
      <c r="Q130" cm="1">
        <f t="array" ref="Q130">CORREL(IF($A$6:$A$105&lt;&gt;"", INDEX($L$6:$T$105, 0, ROW()-122)),IF($A$6:$A$105&lt;&gt;"", INDEX($L$6:$T$105, 0, COLUMN()-COLUMN($L$123)+1))
)</f>
        <v>-0.65600978567838164</v>
      </c>
      <c r="R130" cm="1">
        <f t="array" ref="R130">CORREL(IF($A$6:$A$105&lt;&gt;"", INDEX($L$6:$T$105, 0, ROW()-122)),IF($A$6:$A$105&lt;&gt;"", INDEX($L$6:$T$105, 0, COLUMN()-COLUMN($L$123)+1))
)</f>
        <v>-0.68156519685825745</v>
      </c>
      <c r="S130" cm="1">
        <f t="array" ref="S130">CORREL(IF($A$6:$A$105&lt;&gt;"", INDEX($L$6:$T$105, 0, ROW()-122)),IF($A$6:$A$105&lt;&gt;"", INDEX($L$6:$T$105, 0, COLUMN()-COLUMN($L$123)+1))
)</f>
        <v>1.0000000000000002</v>
      </c>
      <c r="T130" cm="1">
        <f t="array" ref="T130">CORREL(IF($A$6:$A$105&lt;&gt;"", INDEX($L$6:$T$105, 0, ROW()-122)),IF($A$6:$A$105&lt;&gt;"", INDEX($L$6:$T$105, 0, COLUMN()-COLUMN($L$123)+1))
)</f>
        <v>-0.75479193729187766</v>
      </c>
    </row>
    <row r="131" spans="10:20" outlineLevel="1">
      <c r="L131" cm="1">
        <f t="array" ref="L131">CORREL(IF($A$6:$A$105&lt;&gt;"", INDEX($L$6:$T$105, 0, ROW()-122)),IF($A$6:$A$105&lt;&gt;"", INDEX($L$6:$T$105, 0, COLUMN()-COLUMN($L$123)+1))
)</f>
        <v>0.97757508933650883</v>
      </c>
      <c r="M131" cm="1">
        <f t="array" ref="M131">CORREL(IF($A$6:$A$105&lt;&gt;"", INDEX($L$6:$T$105, 0, ROW()-122)),IF($A$6:$A$105&lt;&gt;"", INDEX($L$6:$T$105, 0, COLUMN()-COLUMN($L$123)+1))
)</f>
        <v>-0.25545577264482555</v>
      </c>
      <c r="N131" cm="1">
        <f t="array" ref="N131">CORREL(IF($A$6:$A$105&lt;&gt;"", INDEX($L$6:$T$105, 0, ROW()-122)),IF($A$6:$A$105&lt;&gt;"", INDEX($L$6:$T$105, 0, COLUMN()-COLUMN($L$123)+1))
)</f>
        <v>0.2476373086688311</v>
      </c>
      <c r="O131" cm="1">
        <f t="array" ref="O131">CORREL(IF($A$6:$A$105&lt;&gt;"", INDEX($L$6:$T$105, 0, ROW()-122)),IF($A$6:$A$105&lt;&gt;"", INDEX($L$6:$T$105, 0, COLUMN()-COLUMN($L$123)+1))
)</f>
        <v>0.76206920386749066</v>
      </c>
      <c r="P131" cm="1">
        <f t="array" ref="P131">CORREL(IF($A$6:$A$105&lt;&gt;"", INDEX($L$6:$T$105, 0, ROW()-122)),IF($A$6:$A$105&lt;&gt;"", INDEX($L$6:$T$105, 0, COLUMN()-COLUMN($L$123)+1))
)</f>
        <v>-0.30640818833049976</v>
      </c>
      <c r="Q131" cm="1">
        <f t="array" ref="Q131">CORREL(IF($A$6:$A$105&lt;&gt;"", INDEX($L$6:$T$105, 0, ROW()-122)),IF($A$6:$A$105&lt;&gt;"", INDEX($L$6:$T$105, 0, COLUMN()-COLUMN($L$123)+1))
)</f>
        <v>0.30398516266119874</v>
      </c>
      <c r="R131" cm="1">
        <f t="array" ref="R131">CORREL(IF($A$6:$A$105&lt;&gt;"", INDEX($L$6:$T$105, 0, ROW()-122)),IF($A$6:$A$105&lt;&gt;"", INDEX($L$6:$T$105, 0, COLUMN()-COLUMN($L$123)+1))
)</f>
        <v>0.71721338879973184</v>
      </c>
      <c r="S131" cm="1">
        <f t="array" ref="S131">CORREL(IF($A$6:$A$105&lt;&gt;"", INDEX($L$6:$T$105, 0, ROW()-122)),IF($A$6:$A$105&lt;&gt;"", INDEX($L$6:$T$105, 0, COLUMN()-COLUMN($L$123)+1))
)</f>
        <v>-0.75479193729187766</v>
      </c>
      <c r="T131" cm="1">
        <f t="array" ref="T131">CORREL(IF($A$6:$A$105&lt;&gt;"", INDEX($L$6:$T$105, 0, ROW()-122)),IF($A$6:$A$105&lt;&gt;"", INDEX($L$6:$T$105, 0, COLUMN()-COLUMN($L$123)+1))
)</f>
        <v>1.0000000000000002</v>
      </c>
    </row>
    <row r="132" spans="10:20" outlineLevel="1">
      <c r="J132" s="31" t="s">
        <v>102</v>
      </c>
      <c r="K132" s="31"/>
      <c r="L132" s="13" cm="1">
        <f t="array" ref="L132">SUM(1-L123:T123)</f>
        <v>5.7440520795642582</v>
      </c>
      <c r="M132" s="13" cm="1">
        <f t="array" ref="M132">SUM(1-L124:T124)</f>
        <v>5.9221706776491825</v>
      </c>
      <c r="N132" s="13" cm="1">
        <f t="array" ref="N132">SUM(1-L125:T125)</f>
        <v>4.3874675372976899</v>
      </c>
      <c r="O132" s="13" cm="1">
        <f t="array" ref="O132">SUM(1-L126:T126)</f>
        <v>5.3813783997447047</v>
      </c>
      <c r="P132" s="13" cm="1">
        <f t="array" ref="P132">SUM(1-L127:T127)</f>
        <v>6.0510365698274358</v>
      </c>
      <c r="Q132" s="13" cm="1">
        <f t="array" ref="Q132">SUM(1-L128:T128)</f>
        <v>4.2779520007626788</v>
      </c>
      <c r="R132" s="13" cm="1">
        <f t="array" ref="R132">SUM(1-L129:T129)</f>
        <v>4.8406710472757091</v>
      </c>
      <c r="S132" s="13" cm="1">
        <f t="array" ref="S132">SUM(1-L130:T130)</f>
        <v>12.531515137758387</v>
      </c>
      <c r="T132" s="13" cm="1">
        <f t="array" ref="T132">SUM(1-L131:T131)</f>
        <v>6.3081757449334415</v>
      </c>
    </row>
    <row r="133" spans="10:20" outlineLevel="1">
      <c r="J133" s="32" t="s">
        <v>103</v>
      </c>
      <c r="K133" s="32"/>
      <c r="L133" s="13">
        <f>L120 * L132</f>
        <v>1.7217085393990483</v>
      </c>
      <c r="M133" s="13">
        <f t="shared" ref="M133:T133" si="42">M120 * M132</f>
        <v>1.5978660148671606</v>
      </c>
      <c r="N133" s="13">
        <f t="shared" si="42"/>
        <v>1.1638484459860103</v>
      </c>
      <c r="O133" s="13">
        <f t="shared" si="42"/>
        <v>1.306022723286999</v>
      </c>
      <c r="P133" s="13">
        <f t="shared" si="42"/>
        <v>2.1555086242761012</v>
      </c>
      <c r="Q133" s="13">
        <f t="shared" si="42"/>
        <v>1.108064156055921</v>
      </c>
      <c r="R133" s="13">
        <f t="shared" si="42"/>
        <v>1.1255764869368012</v>
      </c>
      <c r="S133" s="13">
        <f t="shared" si="42"/>
        <v>2.0420591200625657</v>
      </c>
      <c r="T133" s="13">
        <f t="shared" si="42"/>
        <v>1.6906616654819724</v>
      </c>
    </row>
    <row r="134" spans="10:20" outlineLevel="1">
      <c r="J134" s="29" t="s">
        <v>104</v>
      </c>
      <c r="K134" s="29"/>
      <c r="L134" s="12">
        <f>L132 / SUM($L$132:$T$132)</f>
        <v>0.10360018488752755</v>
      </c>
      <c r="M134" s="12">
        <f t="shared" ref="M134:T134" si="43">M132 / SUM($L$132:$T$132)</f>
        <v>0.1068127462358406</v>
      </c>
      <c r="N134" s="12">
        <f t="shared" si="43"/>
        <v>7.9132717070794265E-2</v>
      </c>
      <c r="O134" s="12">
        <f t="shared" si="43"/>
        <v>9.7058973254572439E-2</v>
      </c>
      <c r="P134" s="12">
        <f t="shared" si="43"/>
        <v>0.10913698182257225</v>
      </c>
      <c r="Q134" s="12">
        <f t="shared" si="43"/>
        <v>7.7157486053399893E-2</v>
      </c>
      <c r="R134" s="12">
        <f t="shared" si="43"/>
        <v>8.7306731995283063E-2</v>
      </c>
      <c r="S134" s="12">
        <f t="shared" si="43"/>
        <v>0.22601941403203732</v>
      </c>
      <c r="T134" s="12">
        <f t="shared" si="43"/>
        <v>0.11377476464797265</v>
      </c>
    </row>
    <row r="135" spans="10:20" outlineLevel="1"/>
    <row r="136" spans="10:20" outlineLevel="1"/>
    <row r="137" spans="10:20" outlineLevel="1"/>
    <row r="138" spans="10:20" outlineLevel="1"/>
    <row r="139" spans="10:20" outlineLevel="1"/>
    <row r="140" spans="10:20" outlineLevel="1"/>
    <row r="141" spans="10:20" outlineLevel="1"/>
    <row r="142" spans="10:20" outlineLevel="1"/>
    <row r="143" spans="10:20" outlineLevel="1"/>
    <row r="144" spans="10:20" outlineLevel="1"/>
    <row r="145" spans="12:20" outlineLevel="1"/>
    <row r="146" spans="12:20" outlineLevel="1">
      <c r="M146" s="28" t="s">
        <v>105</v>
      </c>
      <c r="N146" s="28"/>
      <c r="O146" s="28"/>
      <c r="P146" s="28"/>
      <c r="Q146" s="28"/>
      <c r="R146" s="28"/>
    </row>
    <row r="147" spans="12:20" outlineLevel="1">
      <c r="M147" s="28"/>
      <c r="N147" s="28"/>
      <c r="O147" s="28"/>
      <c r="P147" s="28"/>
      <c r="Q147" s="28"/>
      <c r="R147" s="28"/>
    </row>
    <row r="148" spans="12:20" outlineLevel="1"/>
    <row r="149" spans="12:20" outlineLevel="1"/>
    <row r="150" spans="12:20" outlineLevel="1">
      <c r="L150" cm="1">
        <f t="array" ref="L150:L249">IFERROR(IF($A$6:$A$105&lt;&gt;"",L6:L105/SUMIF($A$6:$A$105,"&lt;&gt;",L6:L105),0),0)</f>
        <v>6.0637204522096595E-2</v>
      </c>
      <c r="M150" cm="1">
        <f t="array" ref="M150:M249">IFERROR(IF($A$6:$A$105&lt;&gt;"",M6:M105/SUMIF($A$6:$A$105,"&lt;&gt;",M6:M105),0),0)</f>
        <v>7.5928008998875141E-2</v>
      </c>
      <c r="N150" cm="1">
        <f t="array" ref="N150:N249">IFERROR(IF($A$6:$A$105&lt;&gt;"",N6:N105/SUMIF($A$6:$A$105,"&lt;&gt;",N6:N105),0),0)</f>
        <v>6.9306930693069313E-2</v>
      </c>
      <c r="O150" cm="1">
        <f t="array" ref="O150:O249">IFERROR(IF($A$6:$A$105&lt;&gt;"",O6:O105/SUMIF($A$6:$A$105,"&lt;&gt;",O6:O105),0),0)</f>
        <v>0.10714913051115404</v>
      </c>
      <c r="P150" cm="1">
        <f t="array" ref="P150:P249">IFERROR(IF($A$6:$A$105&lt;&gt;"",P6:P105/SUMIF($A$6:$A$105,"&lt;&gt;",P6:P105),0),0)</f>
        <v>3.451581975071908E-2</v>
      </c>
      <c r="Q150" cm="1">
        <f t="array" ref="Q150:Q249">IFERROR(IF($A$6:$A$105&lt;&gt;"",Q6:Q105/SUMIF($A$6:$A$105,"&lt;&gt;",Q6:Q105),0),0)</f>
        <v>7.3446327683615822E-2</v>
      </c>
      <c r="R150" cm="1">
        <f t="array" ref="R150:R249">IFERROR(IF($A$6:$A$105&lt;&gt;"",R6:R105/SUMIF($A$6:$A$105,"&lt;&gt;",R6:R105),0),0)</f>
        <v>0.10097087378640776</v>
      </c>
      <c r="S150" cm="1">
        <f t="array" ref="S150:S249">IFERROR(IF($A$6:$A$105&lt;&gt;"",S6:S105/SUMIF($A$6:$A$105,"&lt;&gt;",S6:S105),0),0)</f>
        <v>0.13073604392731075</v>
      </c>
      <c r="T150" cm="1">
        <f t="array" ref="T150:T249">IFERROR(IF($A$6:$A$105&lt;&gt;"",T6:T105/SUMIF($A$6:$A$105,"&lt;&gt;",T6:T105),0),0)</f>
        <v>8.0338266384778007E-2</v>
      </c>
    </row>
    <row r="151" spans="12:20" outlineLevel="1">
      <c r="L151">
        <v>0.51181911613566289</v>
      </c>
      <c r="M151">
        <v>7.9865016872890882E-2</v>
      </c>
      <c r="N151">
        <v>0.23762376237623764</v>
      </c>
      <c r="O151">
        <v>0.37502195678903921</v>
      </c>
      <c r="P151">
        <v>2.2051773729626075E-2</v>
      </c>
      <c r="Q151">
        <v>0.25235404896421842</v>
      </c>
      <c r="R151">
        <v>0.35242718446601945</v>
      </c>
      <c r="S151">
        <v>1.9479670545169303E-2</v>
      </c>
      <c r="T151">
        <v>0.42283298097251587</v>
      </c>
    </row>
    <row r="152" spans="12:20" outlineLevel="1">
      <c r="L152">
        <v>7.0914696813977385E-2</v>
      </c>
      <c r="M152">
        <v>0.10123734533183353</v>
      </c>
      <c r="N152">
        <v>7.9207920792079209E-2</v>
      </c>
      <c r="O152">
        <v>0.1993676444756719</v>
      </c>
      <c r="P152">
        <v>2.4928092042186004E-2</v>
      </c>
      <c r="Q152">
        <v>8.0979284369114876E-2</v>
      </c>
      <c r="R152">
        <v>0.18737864077669902</v>
      </c>
      <c r="S152">
        <v>0.22878807687279382</v>
      </c>
      <c r="T152">
        <v>8.4566596194503171E-2</v>
      </c>
    </row>
    <row r="153" spans="12:20">
      <c r="L153">
        <v>0.16238437821171633</v>
      </c>
      <c r="M153">
        <v>0.15185601799775028</v>
      </c>
      <c r="N153">
        <v>0.13861386138613863</v>
      </c>
      <c r="O153">
        <v>5.7965923063411216E-2</v>
      </c>
      <c r="P153">
        <v>6.5196548418024927E-2</v>
      </c>
      <c r="Q153">
        <v>0.13182674199623354</v>
      </c>
      <c r="R153">
        <v>6.3106796116504854E-2</v>
      </c>
      <c r="S153">
        <v>0.15034645051640738</v>
      </c>
      <c r="T153">
        <v>0.21141649048625794</v>
      </c>
    </row>
    <row r="154" spans="12:20" hidden="1" outlineLevel="1">
      <c r="L154">
        <v>7.9136690647482008E-2</v>
      </c>
      <c r="M154">
        <v>0.44431946006749157</v>
      </c>
      <c r="N154">
        <v>0.39603960396039606</v>
      </c>
      <c r="O154">
        <v>0.13174073423502547</v>
      </c>
      <c r="P154">
        <v>0.76701821668264614</v>
      </c>
      <c r="Q154">
        <v>0.37664783427495296</v>
      </c>
      <c r="R154">
        <v>0.17475728155339804</v>
      </c>
      <c r="S154">
        <v>0.11112563733821414</v>
      </c>
      <c r="T154">
        <v>5.2854122621564484E-2</v>
      </c>
    </row>
    <row r="155" spans="12:20" hidden="1" outlineLevel="1">
      <c r="L155">
        <v>5.6526207605344291E-2</v>
      </c>
      <c r="M155">
        <v>7.3678290213723296E-2</v>
      </c>
      <c r="N155">
        <v>5.5445544554455453E-2</v>
      </c>
      <c r="O155">
        <v>6.9910416300720188E-2</v>
      </c>
      <c r="P155">
        <v>3.8350910834132307E-2</v>
      </c>
      <c r="Q155">
        <v>6.0263653483992471E-2</v>
      </c>
      <c r="R155">
        <v>6.6019417475728148E-2</v>
      </c>
      <c r="S155">
        <v>0.16342005490913844</v>
      </c>
      <c r="T155">
        <v>8.4566596194503171E-2</v>
      </c>
    </row>
    <row r="156" spans="12:20" hidden="1" outlineLevel="1">
      <c r="L156">
        <v>5.8581706063720436E-2</v>
      </c>
      <c r="M156">
        <v>7.3115860517435322E-2</v>
      </c>
      <c r="N156">
        <v>2.3762376237623763E-2</v>
      </c>
      <c r="O156">
        <v>5.8844194624978044E-2</v>
      </c>
      <c r="P156">
        <v>4.7938638542665384E-2</v>
      </c>
      <c r="Q156">
        <v>2.4482109227871942E-2</v>
      </c>
      <c r="R156">
        <v>5.533980582524272E-2</v>
      </c>
      <c r="S156">
        <v>0.19610406589096613</v>
      </c>
      <c r="T156">
        <v>6.3424947145877375E-2</v>
      </c>
    </row>
    <row r="157" spans="12:20" hidden="1" outlineLevel="1"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2:20" hidden="1" outlineLevel="1"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2:20" hidden="1" outlineLevel="1"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2:20" hidden="1" outlineLevel="1"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2:20" hidden="1" outlineLevel="1"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2:20" hidden="1" outlineLevel="1"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2:20" hidden="1" outlineLevel="1"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2:20" hidden="1" outlineLevel="1"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2:20" hidden="1" outlineLevel="1"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2:20" hidden="1" outlineLevel="1"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2:20" hidden="1" outlineLevel="1"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2:20" hidden="1" outlineLevel="1"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2:20" hidden="1" outlineLevel="1"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2:20" hidden="1" outlineLevel="1"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2:20" hidden="1" outlineLevel="1"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2:20" hidden="1" outlineLevel="1"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2:20" hidden="1" outlineLevel="1"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2:20" hidden="1" outlineLevel="1"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2:20" hidden="1" outlineLevel="1"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2:20" hidden="1" outlineLevel="1"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2:20" hidden="1" outlineLevel="1"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2:20" hidden="1" outlineLevel="1"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2:20" hidden="1" outlineLevel="1"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2:20" hidden="1" outlineLevel="1"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2:20" hidden="1" outlineLevel="1"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2:20" hidden="1" outlineLevel="1"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2:20" hidden="1" outlineLevel="1"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2:20" hidden="1" outlineLevel="1"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2:20" hidden="1" outlineLevel="1"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2:20" hidden="1" outlineLevel="1"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2:20" hidden="1" outlineLevel="1"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2:20" hidden="1" outlineLevel="1"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2:20" hidden="1" outlineLevel="1"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2:20" hidden="1" outlineLevel="1"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2:20" hidden="1" outlineLevel="1"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2:20" hidden="1" outlineLevel="1"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2:20" hidden="1" outlineLevel="1"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2:20" hidden="1" outlineLevel="1"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2:20" hidden="1" outlineLevel="1"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2:20" hidden="1" outlineLevel="1"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2:20" hidden="1" outlineLevel="1"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2:20" hidden="1" outlineLevel="1"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2:20" hidden="1" outlineLevel="1"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2:20" hidden="1" outlineLevel="1"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2:20" hidden="1" outlineLevel="1"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2:20" hidden="1" outlineLevel="1"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2:20" hidden="1" outlineLevel="1"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2:20" hidden="1" outlineLevel="1"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2:20" hidden="1" outlineLevel="1"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2:20" hidden="1" outlineLevel="1"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2:20" hidden="1" outlineLevel="1"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2:20" hidden="1" outlineLevel="1"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2:20" hidden="1" outlineLevel="1"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2:20" hidden="1" outlineLevel="1"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2:20" hidden="1" outlineLevel="1"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2:20" hidden="1" outlineLevel="1"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2:20" hidden="1" outlineLevel="1"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2:20" hidden="1" outlineLevel="1"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2:20" hidden="1" outlineLevel="1"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2:20" hidden="1" outlineLevel="1"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2:20" hidden="1" outlineLevel="1"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2:20" hidden="1" outlineLevel="1"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2:20" hidden="1" outlineLevel="1"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2:20" hidden="1" outlineLevel="1"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2:20" hidden="1" outlineLevel="1"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2:20" hidden="1" outlineLevel="1"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2:20" hidden="1" outlineLevel="1"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2:20" hidden="1" outlineLevel="1"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2:20" hidden="1" outlineLevel="1"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2:20" hidden="1" outlineLevel="1"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2:20" hidden="1" outlineLevel="1"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2:20" hidden="1" outlineLevel="1"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2:20" hidden="1" outlineLevel="1"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2:20" hidden="1" outlineLevel="1"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2:20" hidden="1" outlineLevel="1"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2:20" hidden="1" outlineLevel="1"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2:20" hidden="1" outlineLevel="1"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2:20" hidden="1" outlineLevel="1"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2:20" hidden="1" outlineLevel="1"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2:20" hidden="1" outlineLevel="1"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2:20" hidden="1" outlineLevel="1"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2:20" hidden="1" outlineLevel="1"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2:20" hidden="1" outlineLevel="1"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2:20" hidden="1" outlineLevel="1"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2:20" hidden="1" outlineLevel="1"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2:20" hidden="1" outlineLevel="1"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2:20" hidden="1" outlineLevel="1"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2:20" hidden="1" outlineLevel="1"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2:20" hidden="1" outlineLevel="1"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2:20" hidden="1" outlineLevel="1"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2:20" hidden="1" outlineLevel="1"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2:20" hidden="1" outlineLevel="1"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2:20" hidden="1" outlineLevel="1"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2:20" hidden="1" outlineLevel="1"/>
    <row r="251" spans="12:20" collapsed="1"/>
    <row r="260" spans="12:20">
      <c r="L260" cm="1">
        <f t="array" ref="L260:L266">IFERROR(IF(_xlfn._xlws.FILTER(_xlfn.ANCHORARRAY(L150),_xlfn.ANCHORARRAY(L150)&gt;0)&gt;0,_xlfn._xlws.FILTER(_xlfn.ANCHORARRAY(L150),_xlfn.ANCHORARRAY(L150)&gt;0)*LN(_xlfn._xlws.FILTER(_xlfn.ANCHORARRAY(L150),_xlfn.ANCHORARRAY(L150)&gt;0)),0),0)</f>
        <v>-0.16995678484947258</v>
      </c>
      <c r="M260" cm="1">
        <f t="array" ref="M260:M266">IFERROR(IF(_xlfn._xlws.FILTER(_xlfn.ANCHORARRAY(M150),_xlfn.ANCHORARRAY(M150)&gt;0)&gt;0,_xlfn._xlws.FILTER(_xlfn.ANCHORARRAY(M150),_xlfn.ANCHORARRAY(M150)&gt;0)*LN(_xlfn._xlws.FILTER(_xlfn.ANCHORARRAY(M150),_xlfn.ANCHORARRAY(M150)&gt;0)),0),0)</f>
        <v>-0.1957401018452091</v>
      </c>
      <c r="N260" cm="1">
        <f t="array" ref="N260:N266">IFERROR(IF(_xlfn._xlws.FILTER(_xlfn.ANCHORARRAY(N150),_xlfn.ANCHORARRAY(N150)&gt;0)&gt;0,_xlfn._xlws.FILTER(_xlfn.ANCHORARRAY(N150),_xlfn.ANCHORARRAY(N150)&gt;0)*LN(_xlfn._xlws.FILTER(_xlfn.ANCHORARRAY(N150),_xlfn.ANCHORARRAY(N150)&gt;0)),0),0)</f>
        <v>-0.18499477796536262</v>
      </c>
      <c r="O260" cm="1">
        <f t="array" ref="O260:O266">IFERROR(IF(_xlfn._xlws.FILTER(_xlfn.ANCHORARRAY(O150),_xlfn.ANCHORARRAY(O150)&gt;0)&gt;0,_xlfn._xlws.FILTER(_xlfn.ANCHORARRAY(O150),_xlfn.ANCHORARRAY(O150)&gt;0)*LN(_xlfn._xlws.FILTER(_xlfn.ANCHORARRAY(O150),_xlfn.ANCHORARRAY(O150)&gt;0)),0),0)</f>
        <v>-0.23932119089901147</v>
      </c>
      <c r="P260" cm="1">
        <f t="array" ref="P260:P266">IFERROR(IF(_xlfn._xlws.FILTER(_xlfn.ANCHORARRAY(P150),_xlfn.ANCHORARRAY(P150)&gt;0)&gt;0,_xlfn._xlws.FILTER(_xlfn.ANCHORARRAY(P150),_xlfn.ANCHORARRAY(P150)&gt;0)*LN(_xlfn._xlws.FILTER(_xlfn.ANCHORARRAY(P150),_xlfn.ANCHORARRAY(P150)&gt;0)),0),0)</f>
        <v>-0.11619189894113888</v>
      </c>
      <c r="Q260" cm="1">
        <f t="array" ref="Q260:Q266">IFERROR(IF(_xlfn._xlws.FILTER(_xlfn.ANCHORARRAY(Q150),_xlfn.ANCHORARRAY(Q150)&gt;0)&gt;0,_xlfn._xlws.FILTER(_xlfn.ANCHORARRAY(Q150),_xlfn.ANCHORARRAY(Q150)&gt;0)*LN(_xlfn._xlws.FILTER(_xlfn.ANCHORARRAY(Q150),_xlfn.ANCHORARRAY(Q150)&gt;0)),0),0)</f>
        <v>-0.19178307839807798</v>
      </c>
      <c r="R260" cm="1">
        <f t="array" ref="R260:R266">IFERROR(IF(_xlfn._xlws.FILTER(_xlfn.ANCHORARRAY(R150),_xlfn.ANCHORARRAY(R150)&gt;0)&gt;0,_xlfn._xlws.FILTER(_xlfn.ANCHORARRAY(R150),_xlfn.ANCHORARRAY(R150)&gt;0)*LN(_xlfn._xlws.FILTER(_xlfn.ANCHORARRAY(R150),_xlfn.ANCHORARRAY(R150)&gt;0)),0),0)</f>
        <v>-0.23151845721996125</v>
      </c>
      <c r="S260" cm="1">
        <f t="array" ref="S260:S266">IFERROR(IF(_xlfn._xlws.FILTER(_xlfn.ANCHORARRAY(S150),_xlfn.ANCHORARRAY(S150)&gt;0)&gt;0,_xlfn._xlws.FILTER(_xlfn.ANCHORARRAY(S150),_xlfn.ANCHORARRAY(S150)&gt;0)*LN(_xlfn._xlws.FILTER(_xlfn.ANCHORARRAY(S150),_xlfn.ANCHORARRAY(S150)&gt;0)),0),0)</f>
        <v>-0.26599227615893956</v>
      </c>
      <c r="T260" cm="1">
        <f t="array" ref="T260:T266">IFERROR(IF(_xlfn._xlws.FILTER(_xlfn.ANCHORARRAY(T150),_xlfn.ANCHORARRAY(T150)&gt;0)&gt;0,_xlfn._xlws.FILTER(_xlfn.ANCHORARRAY(T150),_xlfn.ANCHORARRAY(T150)&gt;0)*LN(_xlfn._xlws.FILTER(_xlfn.ANCHORARRAY(T150),_xlfn.ANCHORARRAY(T150)&gt;0)),0),0)</f>
        <v>-0.20257368011224269</v>
      </c>
    </row>
    <row r="261" spans="12:20">
      <c r="L261">
        <v>-0.34280825752348754</v>
      </c>
      <c r="M261">
        <v>-0.20185222997925065</v>
      </c>
      <c r="N261">
        <v>-0.34148119283009437</v>
      </c>
      <c r="O261">
        <v>-0.36781054830856175</v>
      </c>
      <c r="P261">
        <v>-8.4113453018837311E-2</v>
      </c>
      <c r="Q261">
        <v>-0.34747189765159636</v>
      </c>
      <c r="R261">
        <v>-0.36755027441364618</v>
      </c>
      <c r="S261">
        <v>-7.6718420723373593E-2</v>
      </c>
      <c r="T261">
        <v>-0.36396533697416333</v>
      </c>
    </row>
    <row r="262" spans="12:20">
      <c r="L262">
        <v>-0.18765997210033242</v>
      </c>
      <c r="M262">
        <v>-0.2318626331457003</v>
      </c>
      <c r="N262">
        <v>-0.20084585941872662</v>
      </c>
      <c r="O262">
        <v>-0.32150120031712315</v>
      </c>
      <c r="P262">
        <v>-9.2028531008112716E-2</v>
      </c>
      <c r="Q262">
        <v>-0.20354644432877625</v>
      </c>
      <c r="R262">
        <v>-0.31378874875488116</v>
      </c>
      <c r="S262">
        <v>-0.3374530633687457</v>
      </c>
      <c r="T262">
        <v>-0.20889775343577141</v>
      </c>
    </row>
    <row r="263" spans="12:20">
      <c r="L263">
        <v>-0.29518054446775749</v>
      </c>
      <c r="M263">
        <v>-0.28622163296421727</v>
      </c>
      <c r="N263">
        <v>-0.27390974872439616</v>
      </c>
      <c r="O263">
        <v>-0.16508115081361033</v>
      </c>
      <c r="P263">
        <v>-0.17800931446603765</v>
      </c>
      <c r="Q263">
        <v>-0.26711614791615934</v>
      </c>
      <c r="R263">
        <v>-0.17435945896730379</v>
      </c>
      <c r="S263">
        <v>-0.28487840562939676</v>
      </c>
      <c r="T263">
        <v>-0.32852541279150982</v>
      </c>
    </row>
    <row r="264" spans="12:20">
      <c r="L264">
        <v>-0.20073644074572325</v>
      </c>
      <c r="M264">
        <v>-0.3604370426232274</v>
      </c>
      <c r="N264">
        <v>-0.36682814365438537</v>
      </c>
      <c r="O264">
        <v>-0.26702785294494019</v>
      </c>
      <c r="P264">
        <v>-0.2034475377433137</v>
      </c>
      <c r="Q264">
        <v>-0.36777576447981247</v>
      </c>
      <c r="R264">
        <v>-0.304839127631092</v>
      </c>
      <c r="S264">
        <v>-0.24415345435506319</v>
      </c>
      <c r="T264">
        <v>-0.15540272535009156</v>
      </c>
    </row>
    <row r="265" spans="12:20">
      <c r="L265">
        <v>-0.16240267146191611</v>
      </c>
      <c r="M265">
        <v>-0.19215645059973199</v>
      </c>
      <c r="N265">
        <v>-0.16036813808872155</v>
      </c>
      <c r="O265">
        <v>-0.18599950258551282</v>
      </c>
      <c r="P265">
        <v>-0.12506143819316726</v>
      </c>
      <c r="Q265">
        <v>-0.16928217662928588</v>
      </c>
      <c r="R265">
        <v>-0.17942799375848065</v>
      </c>
      <c r="S265">
        <v>-0.29602421379028615</v>
      </c>
      <c r="T265">
        <v>-0.20889775343577141</v>
      </c>
    </row>
    <row r="266" spans="12:20">
      <c r="L266">
        <v>-0.1662157969352856</v>
      </c>
      <c r="M266">
        <v>-0.19124988500021078</v>
      </c>
      <c r="N266">
        <v>-8.8863012581877843E-2</v>
      </c>
      <c r="O266">
        <v>-0.16669748858900668</v>
      </c>
      <c r="P266">
        <v>-0.14562959969188047</v>
      </c>
      <c r="Q266">
        <v>-9.0824038849614375E-2</v>
      </c>
      <c r="R266">
        <v>-0.16016794210017521</v>
      </c>
      <c r="S266">
        <v>-0.31947505796147818</v>
      </c>
      <c r="T266">
        <v>-0.17491953531689922</v>
      </c>
    </row>
    <row r="300" spans="11:20" s="18" customFormat="1">
      <c r="K300" t="s">
        <v>106</v>
      </c>
      <c r="L300" s="18">
        <f>IF(B2="benefice",MAX(L6:L105),MIN(L6:L105))</f>
        <v>0.1015366927726632</v>
      </c>
      <c r="M300" s="18">
        <f t="shared" ref="M300:T300" si="44">IF(C2="benefice",MAX(M6:M105),MIN(M6:M105))</f>
        <v>0.1451766549624961</v>
      </c>
      <c r="N300" s="18">
        <f t="shared" si="44"/>
        <v>0.79648411429022614</v>
      </c>
      <c r="O300" s="18">
        <f t="shared" si="44"/>
        <v>0.79785470253685464</v>
      </c>
      <c r="P300" s="18">
        <f t="shared" si="44"/>
        <v>0.99134416519577639</v>
      </c>
      <c r="Q300" s="18">
        <f t="shared" si="44"/>
        <v>0.77026265524317572</v>
      </c>
      <c r="R300" s="18">
        <f t="shared" si="44"/>
        <v>0.76640973210634877</v>
      </c>
      <c r="S300" s="18">
        <f t="shared" si="44"/>
        <v>4.725469875668286E-2</v>
      </c>
      <c r="T300" s="18">
        <f t="shared" si="44"/>
        <v>0.10548523206751054</v>
      </c>
    </row>
    <row r="301" spans="11:20">
      <c r="K301" t="s">
        <v>107</v>
      </c>
      <c r="L301">
        <f>IF(B2="benefice",MIN(L6:L105),MAX(L6:L105))</f>
        <v>0.91936860001429588</v>
      </c>
      <c r="M301">
        <f t="shared" ref="M301:T301" si="45">IF(C2="benefice",MIN(M6:M105),MAX(M6:M105))</f>
        <v>0.88222736477209174</v>
      </c>
      <c r="N301">
        <f t="shared" si="45"/>
        <v>4.7789046857413565E-2</v>
      </c>
      <c r="O301">
        <f t="shared" si="45"/>
        <v>0.12332180413918596</v>
      </c>
      <c r="P301">
        <f t="shared" si="45"/>
        <v>2.8501144749378569E-2</v>
      </c>
      <c r="Q301">
        <f t="shared" si="45"/>
        <v>5.0067072590806422E-2</v>
      </c>
      <c r="R301">
        <f t="shared" si="45"/>
        <v>0.12034532983488121</v>
      </c>
      <c r="S301">
        <f t="shared" si="45"/>
        <v>0.55500485116909393</v>
      </c>
      <c r="T301">
        <f t="shared" si="45"/>
        <v>0.8438818565400843</v>
      </c>
    </row>
    <row r="362" spans="12:23">
      <c r="L362" cm="1">
        <f t="array" ref="L362" xml:space="preserve"> - (1/LN(COUNTA($A$6:$A$105))) * SUM(IF(_xlfn.ANCHORARRAY(L150)&gt;0,_xlfn.ANCHORARRAY(L150)*LN(_xlfn.ANCHORARRAY(L150))))</f>
        <v>0.33114095820473516</v>
      </c>
      <c r="M362" cm="1">
        <f t="array" ref="M362" xml:space="preserve"> - (1/LN(COUNTA($A$6:$A$105))) * SUM(IF(_xlfn.ANCHORARRAY(M150)&gt;0,_xlfn.ANCHORARRAY(M150)*LN(_xlfn.ANCHORARRAY(M150))))</f>
        <v>0.36036018412671944</v>
      </c>
      <c r="N362" cm="1">
        <f t="array" ref="N362" xml:space="preserve"> - (1/LN(COUNTA($A$6:$A$105))) * SUM(IF(_xlfn.ANCHORARRAY(N150)&gt;0,_xlfn.ANCHORARRAY(N150)*LN(_xlfn.ANCHORARRAY(N150))))</f>
        <v>0.35119025094542872</v>
      </c>
      <c r="O362" cm="1">
        <f t="array" ref="O362" xml:space="preserve"> - (1/LN(COUNTA($A$6:$A$105))) * SUM(IF(_xlfn.ANCHORARRAY(O150)&gt;0,_xlfn.ANCHORARRAY(O150)*LN(_xlfn.ANCHORARRAY(O150))))</f>
        <v>0.37206853715659766</v>
      </c>
      <c r="P362" cm="1">
        <f t="array" ref="P362" xml:space="preserve"> - (1/LN(COUNTA($A$6:$A$105))) * SUM(IF(_xlfn.ANCHORARRAY(P150)&gt;0,_xlfn.ANCHORARRAY(P150)*LN(_xlfn.ANCHORARRAY(P150))))</f>
        <v>0.20509161114961894</v>
      </c>
      <c r="Q362" cm="1">
        <f t="array" ref="Q362" xml:space="preserve"> - (1/LN(COUNTA($A$6:$A$105))) * SUM(IF(_xlfn.ANCHORARRAY(Q150)&gt;0,_xlfn.ANCHORARRAY(Q150)*LN(_xlfn.ANCHORARRAY(Q150))))</f>
        <v>0.35564365313502827</v>
      </c>
      <c r="R362" cm="1">
        <f t="array" ref="R362" xml:space="preserve"> - (1/LN(COUNTA($A$6:$A$105))) * SUM(IF(_xlfn.ANCHORARRAY(R150)&gt;0,_xlfn.ANCHORARRAY(R150)*LN(_xlfn.ANCHORARRAY(R150))))</f>
        <v>0.37602345470626608</v>
      </c>
      <c r="S362" cm="1">
        <f t="array" ref="S362" xml:space="preserve"> - (1/LN(COUNTA($A$6:$A$105))) * SUM(IF(_xlfn.ANCHORARRAY(S150)&gt;0,_xlfn.ANCHORARRAY(S150)*LN(_xlfn.ANCHORARRAY(S150))))</f>
        <v>0.39622746137356352</v>
      </c>
      <c r="T362" cm="1">
        <f t="array" ref="T362" xml:space="preserve"> - (1/LN(COUNTA($A$6:$A$105))) * SUM(IF(_xlfn.ANCHORARRAY(T150)&gt;0,_xlfn.ANCHORARRAY(T150)*LN(_xlfn.ANCHORARRAY(T150))))</f>
        <v>0.35681248054981185</v>
      </c>
    </row>
    <row r="364" spans="12:23">
      <c r="L364">
        <f>1-L362</f>
        <v>0.6688590417952649</v>
      </c>
      <c r="M364">
        <f t="shared" ref="M364:T364" si="46">1-M362</f>
        <v>0.63963981587328056</v>
      </c>
      <c r="N364">
        <f t="shared" si="46"/>
        <v>0.64880974905457123</v>
      </c>
      <c r="O364">
        <f t="shared" si="46"/>
        <v>0.62793146284340229</v>
      </c>
      <c r="P364">
        <f t="shared" si="46"/>
        <v>0.79490838885038106</v>
      </c>
      <c r="Q364">
        <f t="shared" si="46"/>
        <v>0.64435634686497179</v>
      </c>
      <c r="R364">
        <f t="shared" si="46"/>
        <v>0.62397654529373392</v>
      </c>
      <c r="S364">
        <f t="shared" si="46"/>
        <v>0.60377253862643654</v>
      </c>
      <c r="T364">
        <f t="shared" si="46"/>
        <v>0.64318751945018815</v>
      </c>
    </row>
    <row r="366" spans="12:23">
      <c r="L366" s="17">
        <f>L364/SUM($L$364:$T$364)</f>
        <v>0.11345359837070695</v>
      </c>
      <c r="M366" s="17">
        <f t="shared" ref="M366:T366" si="47">M364/SUM($L$364:$T$364)</f>
        <v>0.10849735779487801</v>
      </c>
      <c r="N366" s="17">
        <f t="shared" si="47"/>
        <v>0.11005278554755363</v>
      </c>
      <c r="O366" s="17">
        <f t="shared" si="47"/>
        <v>0.10651135671060043</v>
      </c>
      <c r="P366" s="17">
        <f t="shared" si="47"/>
        <v>0.13483441421091266</v>
      </c>
      <c r="Q366" s="17">
        <f t="shared" si="47"/>
        <v>0.10929738796475964</v>
      </c>
      <c r="R366" s="17">
        <f t="shared" si="47"/>
        <v>0.10584051338004608</v>
      </c>
      <c r="S366" s="17">
        <f t="shared" si="47"/>
        <v>0.10241345758102724</v>
      </c>
      <c r="T366" s="17">
        <f t="shared" si="47"/>
        <v>0.10909912843951557</v>
      </c>
      <c r="U366" s="17"/>
      <c r="V366" t="s">
        <v>108</v>
      </c>
      <c r="W366" s="17">
        <f>SUM(L366:T366)</f>
        <v>1.0000000000000002</v>
      </c>
    </row>
  </sheetData>
  <mergeCells count="7">
    <mergeCell ref="M146:R147"/>
    <mergeCell ref="J134:K134"/>
    <mergeCell ref="J120:K120"/>
    <mergeCell ref="A1:AM1"/>
    <mergeCell ref="M118:R119"/>
    <mergeCell ref="J132:K132"/>
    <mergeCell ref="J133:K133"/>
  </mergeCells>
  <conditionalFormatting sqref="AF6:AF10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22F1-71F7-485B-998F-8E4231F9B1B3}">
  <dimension ref="A1:R111"/>
  <sheetViews>
    <sheetView workbookViewId="0">
      <selection activeCell="K6" sqref="K6"/>
    </sheetView>
  </sheetViews>
  <sheetFormatPr defaultRowHeight="15"/>
  <cols>
    <col min="1" max="1" width="18.7109375" bestFit="1" customWidth="1"/>
    <col min="2" max="2" width="21.7109375" bestFit="1" customWidth="1"/>
    <col min="3" max="3" width="14.42578125" bestFit="1" customWidth="1"/>
    <col min="4" max="4" width="20.42578125" bestFit="1" customWidth="1"/>
    <col min="5" max="5" width="20.7109375" bestFit="1" customWidth="1"/>
    <col min="6" max="6" width="21.140625" bestFit="1" customWidth="1"/>
    <col min="7" max="7" width="21" bestFit="1" customWidth="1"/>
    <col min="8" max="8" width="21.28515625" bestFit="1" customWidth="1"/>
    <col min="9" max="9" width="13.7109375" bestFit="1" customWidth="1"/>
    <col min="10" max="10" width="22" bestFit="1" customWidth="1"/>
    <col min="11" max="11" width="15.85546875" bestFit="1" customWidth="1"/>
    <col min="12" max="12" width="18.42578125" bestFit="1" customWidth="1"/>
    <col min="13" max="13" width="22.5703125" bestFit="1" customWidth="1"/>
    <col min="14" max="14" width="15.140625" bestFit="1" customWidth="1"/>
    <col min="16" max="16" width="18.7109375" bestFit="1" customWidth="1"/>
  </cols>
  <sheetData>
    <row r="1" spans="1:18">
      <c r="B1" t="s">
        <v>109</v>
      </c>
      <c r="C1" t="s">
        <v>110</v>
      </c>
    </row>
    <row r="2" spans="1:18">
      <c r="A2" s="1" t="s">
        <v>111</v>
      </c>
      <c r="B2" s="1" t="str" cm="1">
        <f t="array" ref="B2:J2">DATA!B2:J2</f>
        <v>EF Single score</v>
      </c>
      <c r="C2" s="1" t="str">
        <v>Density (g/cm³)</v>
      </c>
      <c r="D2" s="1" t="str">
        <v>Tensile Modulus (GPa)</v>
      </c>
      <c r="E2" s="1" t="str">
        <v>Tensile Strength (MPa)</v>
      </c>
      <c r="F2" s="1" t="str">
        <v>Elongation at break (%)</v>
      </c>
      <c r="G2" s="1" t="str">
        <v>Flexural modulus (GPa)</v>
      </c>
      <c r="H2" s="1" t="str">
        <v>Flexural strength (MPa)</v>
      </c>
      <c r="I2" s="1" t="str">
        <v>CTE (µm/m·°C)</v>
      </c>
      <c r="J2" s="1" t="str">
        <v>Raw material cost (€/kg)</v>
      </c>
      <c r="K2" s="1" t="s">
        <v>112</v>
      </c>
      <c r="L2" s="1" t="s">
        <v>113</v>
      </c>
      <c r="M2" s="1" t="s">
        <v>114</v>
      </c>
      <c r="N2" s="1" t="s">
        <v>115</v>
      </c>
      <c r="P2" t="s">
        <v>83</v>
      </c>
      <c r="Q2" t="s">
        <v>116</v>
      </c>
      <c r="R2" t="s">
        <v>85</v>
      </c>
    </row>
    <row r="6" spans="1:18">
      <c r="A6" t="str">
        <f>IF(DATA!A8="","",DATA!A8)</f>
        <v>Flax/Epoxy</v>
      </c>
      <c r="B6" cm="1">
        <f t="array" ref="B6:J105">TOPSIS!L6:T105</f>
        <v>0.10892117951976596</v>
      </c>
      <c r="C6">
        <v>0.15076037246105364</v>
      </c>
      <c r="D6">
        <v>0.13938472000078958</v>
      </c>
      <c r="E6">
        <v>0.2279584864391013</v>
      </c>
      <c r="F6">
        <v>4.4610487433809937E-2</v>
      </c>
      <c r="G6">
        <v>0.15020121777241927</v>
      </c>
      <c r="H6">
        <v>0.21957744390925693</v>
      </c>
      <c r="I6">
        <v>0.31714562923948225</v>
      </c>
      <c r="J6">
        <v>0.16033755274261602</v>
      </c>
      <c r="K6" cm="1">
        <f t="array" ref="K6">IF(SUM(B6:J6)=0,"",SUMPRODUCT((($B$110:$J$110 - B6:J6) / ($B$110:$J$110 - $B$111:$J$111)) * DATA!$B$7:$J$7))</f>
        <v>0.18103643685670348</v>
      </c>
      <c r="L6" cm="1">
        <f t="array" ref="L6">MAX((($B$110:$J$110 - B6:J6) / ($B$110:$J$110 - $B$111:$J$111)) * DATA!$B$7:$J$7)</f>
        <v>0.12013898897018348</v>
      </c>
      <c r="M6">
        <f>0.5*(K6-$K$110)/($K$111-$K$110) + 0.5*(L6-$L$110)/($L$111-$L$110)</f>
        <v>4.7064417379228216E-2</v>
      </c>
      <c r="N6">
        <f>RANK(M6,$M$6:$M$105,1)</f>
        <v>1</v>
      </c>
      <c r="P6" t="str">
        <f>INDEX($A$6:$A$105,MATCH(ROW(A1),$N$6:$N$105,0))</f>
        <v>Flax/Epoxy</v>
      </c>
      <c r="Q6">
        <f>INDEX($M$6:$M$105,MATCH(ROW(A1),$N$6:$N$105,0))</f>
        <v>4.7064417379228216E-2</v>
      </c>
      <c r="R6">
        <f>SMALL($N$6:$N$105,ROW(A1))</f>
        <v>1</v>
      </c>
    </row>
    <row r="7" spans="1:18">
      <c r="A7" t="str">
        <f>IF(DATA!A9="","",DATA!A9)</f>
        <v>Carbon/Epoxy</v>
      </c>
      <c r="B7">
        <v>0.91936860001429588</v>
      </c>
      <c r="C7">
        <v>0.15857757695903418</v>
      </c>
      <c r="D7">
        <v>0.4778904685741357</v>
      </c>
      <c r="E7">
        <v>0.79785470253685464</v>
      </c>
      <c r="F7">
        <v>2.8501144749378569E-2</v>
      </c>
      <c r="G7">
        <v>0.51607597901292768</v>
      </c>
      <c r="H7">
        <v>0.76640973210634877</v>
      </c>
      <c r="I7">
        <v>4.725469875668286E-2</v>
      </c>
      <c r="J7">
        <v>0.8438818565400843</v>
      </c>
      <c r="K7" cm="1">
        <f t="array" ref="K7">IF(SUM(B7:J7)=0,"",SUMPRODUCT((($B$110:$J$110 - B7:J7) / ($B$110:$J$110 - $B$111:$J$111)) * DATA!$B$7:$J$7))</f>
        <v>0.49906735731404073</v>
      </c>
      <c r="L7" cm="1">
        <f t="array" ref="L7">MAX((($B$110:$J$110 - B7:J7) / ($B$110:$J$110 - $B$111:$J$111)) * DATA!$B$7:$J$7)</f>
        <v>0.11377476464797265</v>
      </c>
      <c r="M7">
        <f t="shared" ref="M7:M12" si="0">0.5*(K7-$K$110)/($K$111-$K$110) + 0.5*(L7-$L$110)/($L$111-$L$110)</f>
        <v>0.47032155620758587</v>
      </c>
      <c r="N7">
        <f t="shared" ref="N7:N12" si="1">RANK(M7,$M$6:$M$105,1)</f>
        <v>5</v>
      </c>
      <c r="P7" t="str">
        <f t="shared" ref="P7:P22" si="2">INDEX($A$6:$A$105,MATCH(ROW(A2),$N$6:$N$105,0))</f>
        <v>Hemp/Epoxy</v>
      </c>
      <c r="Q7">
        <f t="shared" ref="Q7:Q22" si="3">INDEX($M$6:$M$105,MATCH(ROW(A2),$N$6:$N$105,0))</f>
        <v>0.20946965696235725</v>
      </c>
      <c r="R7">
        <f t="shared" ref="R7:R22" si="4">SMALL($N$6:$N$105,ROW(A2))</f>
        <v>2</v>
      </c>
    </row>
    <row r="8" spans="1:18">
      <c r="A8" t="str">
        <f>IF(DATA!A10="","",DATA!A10)</f>
        <v>Glass/Epoxy</v>
      </c>
      <c r="B8">
        <v>0.12738239638752291</v>
      </c>
      <c r="C8">
        <v>0.20101382994807154</v>
      </c>
      <c r="D8">
        <v>0.15929682285804522</v>
      </c>
      <c r="E8">
        <v>0.4241522657514426</v>
      </c>
      <c r="F8">
        <v>3.2218685368862736E-2</v>
      </c>
      <c r="G8">
        <v>0.16560647087728278</v>
      </c>
      <c r="H8">
        <v>0.40748506417775565</v>
      </c>
      <c r="I8">
        <v>0.55500485116909393</v>
      </c>
      <c r="J8">
        <v>0.16877637130801687</v>
      </c>
      <c r="K8" cm="1">
        <f t="array" ref="K8">IF(SUM(B8:J8)=0,"",SUMPRODUCT((($B$110:$J$110 - B8:J8) / ($B$110:$J$110 - $B$111:$J$111)) * DATA!$B$7:$J$7))</f>
        <v>0.35381244725287586</v>
      </c>
      <c r="L8" cm="1">
        <f t="array" ref="L8">MAX((($B$110:$J$110 - B8:J8) / ($B$110:$J$110 - $B$111:$J$111)) * DATA!$B$7:$J$7)</f>
        <v>0.22601941403203732</v>
      </c>
      <c r="M8">
        <f>0.5*(K8-$K$110)/($K$111-$K$110) + 0.5*(L8-$L$110)/($L$111-$L$110)</f>
        <v>0.74473245799072718</v>
      </c>
      <c r="N8">
        <f t="shared" si="1"/>
        <v>7</v>
      </c>
      <c r="P8" t="str">
        <f t="shared" si="2"/>
        <v>Aluminium template</v>
      </c>
      <c r="Q8">
        <f t="shared" si="3"/>
        <v>0.29674859716193491</v>
      </c>
      <c r="R8">
        <f t="shared" si="4"/>
        <v>3</v>
      </c>
    </row>
    <row r="9" spans="1:18">
      <c r="A9" t="str">
        <f>IF(DATA!A11="","",DATA!A11)</f>
        <v>Aluminium template</v>
      </c>
      <c r="B9">
        <v>0.29168722651055973</v>
      </c>
      <c r="C9">
        <v>0.30152074492210729</v>
      </c>
      <c r="D9">
        <v>0.27876944000157916</v>
      </c>
      <c r="E9">
        <v>0.12332180413918596</v>
      </c>
      <c r="F9">
        <v>8.4264254041640993E-2</v>
      </c>
      <c r="G9">
        <v>0.2695919293351115</v>
      </c>
      <c r="H9">
        <v>0.1372359024432856</v>
      </c>
      <c r="I9">
        <v>0.36471747362540463</v>
      </c>
      <c r="J9">
        <v>0.42194092827004215</v>
      </c>
      <c r="K9" cm="1">
        <f t="array" ref="K9">IF(SUM(B9:J9)=0,"",SUMPRODUCT((($B$110:$J$110 - B9:J9) / ($B$110:$J$110 - $B$111:$J$111)) * DATA!$B$7:$J$7))</f>
        <v>0.29335564486548188</v>
      </c>
      <c r="L9" cm="1">
        <f t="array" ref="L9">MAX((($B$110:$J$110 - B9:J9) / ($B$110:$J$110 - $B$111:$J$111)) * DATA!$B$7:$J$7)</f>
        <v>0.14131507398255427</v>
      </c>
      <c r="M9">
        <f t="shared" si="0"/>
        <v>0.29674859716193491</v>
      </c>
      <c r="N9">
        <f t="shared" si="1"/>
        <v>3</v>
      </c>
      <c r="P9" t="str">
        <f t="shared" si="2"/>
        <v>Jute/epoxy</v>
      </c>
      <c r="Q9">
        <f t="shared" si="3"/>
        <v>0.37376610842594116</v>
      </c>
      <c r="R9">
        <f t="shared" si="4"/>
        <v>4</v>
      </c>
    </row>
    <row r="10" spans="1:18">
      <c r="A10" t="str">
        <f>IF(DATA!A12="","",DATA!A12)</f>
        <v>Chromium steel template</v>
      </c>
      <c r="B10">
        <v>0.14215136988172847</v>
      </c>
      <c r="C10">
        <v>0.88222736477209174</v>
      </c>
      <c r="D10">
        <v>0.79648411429022614</v>
      </c>
      <c r="E10">
        <v>0.28027682758905897</v>
      </c>
      <c r="F10">
        <v>0.99134416519577639</v>
      </c>
      <c r="G10">
        <v>0.77026265524317572</v>
      </c>
      <c r="H10">
        <v>0.38003788368909852</v>
      </c>
      <c r="I10">
        <v>0.26957378485355993</v>
      </c>
      <c r="J10">
        <v>0.10548523206751054</v>
      </c>
      <c r="K10" cm="1">
        <f t="array" ref="K10">IF(SUM(B10:J10)=0,"",SUMPRODUCT((($B$110:$J$110 - B10:J10) / ($B$110:$J$110 - $B$111:$J$111)) * DATA!$B$7:$J$7))</f>
        <v>0.53402600721177007</v>
      </c>
      <c r="L10" cm="1">
        <f t="array" ref="L10">MAX((($B$110:$J$110 - B10:J10) / ($B$110:$J$110 - $B$111:$J$111)) * DATA!$B$7:$J$7)</f>
        <v>0.10913698182257225</v>
      </c>
      <c r="M10">
        <f t="shared" si="0"/>
        <v>0.5</v>
      </c>
      <c r="N10">
        <f t="shared" si="1"/>
        <v>6</v>
      </c>
      <c r="P10" t="str">
        <f t="shared" si="2"/>
        <v>Carbon/Epoxy</v>
      </c>
      <c r="Q10">
        <f t="shared" si="3"/>
        <v>0.47032155620758587</v>
      </c>
      <c r="R10">
        <f t="shared" si="4"/>
        <v>5</v>
      </c>
    </row>
    <row r="11" spans="1:18">
      <c r="A11" t="str">
        <f>IF(DATA!A13="","",DATA!A13)</f>
        <v>Hemp/Epoxy</v>
      </c>
      <c r="B11">
        <v>0.1015366927726632</v>
      </c>
      <c r="C11">
        <v>0.14629339846220762</v>
      </c>
      <c r="D11">
        <v>0.11150777600063166</v>
      </c>
      <c r="E11">
        <v>0.14873356984059397</v>
      </c>
      <c r="F11">
        <v>4.9567208259788817E-2</v>
      </c>
      <c r="G11">
        <v>0.12324202483890812</v>
      </c>
      <c r="H11">
        <v>0.14356986717143722</v>
      </c>
      <c r="I11">
        <v>0.39643203654935283</v>
      </c>
      <c r="J11">
        <v>0.16877637130801687</v>
      </c>
      <c r="K11" cm="1">
        <f t="array" ref="K11">IF(SUM(B11:J11)=0,"",SUMPRODUCT((($B$110:$J$110 - B11:J11) / ($B$110:$J$110 - $B$111:$J$111)) * DATA!$B$7:$J$7))</f>
        <v>0.18910345720587221</v>
      </c>
      <c r="L11" cm="1">
        <f t="array" ref="L11">MAX((($B$110:$J$110 - B11:J11) / ($B$110:$J$110 - $B$111:$J$111)) * DATA!$B$7:$J$7)</f>
        <v>0.15543246399080143</v>
      </c>
      <c r="M11">
        <f t="shared" si="0"/>
        <v>0.20946965696235725</v>
      </c>
      <c r="N11">
        <f t="shared" si="1"/>
        <v>2</v>
      </c>
      <c r="P11" t="str">
        <f t="shared" si="2"/>
        <v>Chromium steel template</v>
      </c>
      <c r="Q11">
        <f t="shared" si="3"/>
        <v>0.5</v>
      </c>
      <c r="R11">
        <f t="shared" si="4"/>
        <v>6</v>
      </c>
    </row>
    <row r="12" spans="1:18">
      <c r="A12" t="str">
        <f>IF(DATA!A14="","",DATA!A14)</f>
        <v>Jute/epoxy</v>
      </c>
      <c r="B12">
        <v>0.10522893614621456</v>
      </c>
      <c r="C12">
        <v>0.1451766549624961</v>
      </c>
      <c r="D12">
        <v>4.7789046857413565E-2</v>
      </c>
      <c r="E12">
        <v>0.125190316323113</v>
      </c>
      <c r="F12">
        <v>6.1959010324736025E-2</v>
      </c>
      <c r="G12">
        <v>5.0067072590806422E-2</v>
      </c>
      <c r="H12">
        <v>0.12034532983488121</v>
      </c>
      <c r="I12">
        <v>0.47571844385922341</v>
      </c>
      <c r="J12">
        <v>0.12658227848101264</v>
      </c>
      <c r="K12" cm="1">
        <f t="array" ref="K12">IF(SUM(B12:J12)=0,"",SUMPRODUCT((($B$110:$J$110 - B12:J12) / ($B$110:$J$110 - $B$111:$J$111)) * DATA!$B$7:$J$7))</f>
        <v>0.19850563369330529</v>
      </c>
      <c r="L12" cm="1">
        <f t="array" ref="L12">MAX((($B$110:$J$110 - B12:J12) / ($B$110:$J$110 - $B$111:$J$111)) * DATA!$B$7:$J$7)</f>
        <v>0.19072593901141938</v>
      </c>
      <c r="M12">
        <f t="shared" si="0"/>
        <v>0.37376610842594116</v>
      </c>
      <c r="N12">
        <f t="shared" si="1"/>
        <v>4</v>
      </c>
      <c r="P12" t="str">
        <f t="shared" si="2"/>
        <v>Glass/Epoxy</v>
      </c>
      <c r="Q12">
        <f t="shared" si="3"/>
        <v>0.74473245799072718</v>
      </c>
      <c r="R12">
        <f t="shared" si="4"/>
        <v>7</v>
      </c>
    </row>
    <row r="13" spans="1:18">
      <c r="A13" t="str">
        <f>IF(DATA!A15="","",DATA!A15)</f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 cm="1">
        <f t="array" ref="K13">IF(SUM(B13:J13)=0,"",SUMPRODUCT((($B$110:$J$110 - B13:J13) / ($B$110:$J$110 - $B$111:$J$111)) * DATA!$B$7:$J$7))</f>
        <v/>
      </c>
      <c r="P13" t="e">
        <f t="shared" si="2"/>
        <v>#N/A</v>
      </c>
      <c r="Q13" t="e">
        <f t="shared" si="3"/>
        <v>#N/A</v>
      </c>
      <c r="R13" t="e">
        <f t="shared" si="4"/>
        <v>#NUM!</v>
      </c>
    </row>
    <row r="14" spans="1:18">
      <c r="A14" t="str">
        <f>IF(DATA!A16="","",DATA!A16)</f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 cm="1">
        <f t="array" ref="K14">IF(SUM(B14:J14)=0,"",SUMPRODUCT((($B$110:$J$110 - B14:J14) / ($B$110:$J$110 - $B$111:$J$111)) * DATA!$B$7:$J$7))</f>
        <v/>
      </c>
      <c r="P14" t="e">
        <f t="shared" si="2"/>
        <v>#N/A</v>
      </c>
      <c r="Q14" t="e">
        <f t="shared" si="3"/>
        <v>#N/A</v>
      </c>
      <c r="R14" t="e">
        <f t="shared" si="4"/>
        <v>#NUM!</v>
      </c>
    </row>
    <row r="15" spans="1:18">
      <c r="A15" t="str">
        <f>IF(DATA!A17="","",DATA!A17)</f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 cm="1">
        <f t="array" ref="K15">IF(SUM(B15:J15)=0,"",SUMPRODUCT((($B$110:$J$110 - B15:J15) / ($B$110:$J$110 - $B$111:$J$111)) * DATA!$B$7:$J$7))</f>
        <v/>
      </c>
      <c r="P15" t="e">
        <f t="shared" si="2"/>
        <v>#N/A</v>
      </c>
      <c r="Q15" t="e">
        <f t="shared" si="3"/>
        <v>#N/A</v>
      </c>
      <c r="R15" t="e">
        <f t="shared" si="4"/>
        <v>#NUM!</v>
      </c>
    </row>
    <row r="16" spans="1:18">
      <c r="A16" t="str">
        <f>IF(DATA!A18="","",DATA!A18)</f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 cm="1">
        <f t="array" ref="K16">IF(SUM(B16:J16)=0,"",SUMPRODUCT((($B$110:$J$110 - B16:J16) / ($B$110:$J$110 - $B$111:$J$111)) * DATA!$B$7:$J$7))</f>
        <v/>
      </c>
      <c r="P16" t="e">
        <f t="shared" si="2"/>
        <v>#N/A</v>
      </c>
      <c r="Q16" t="e">
        <f t="shared" si="3"/>
        <v>#N/A</v>
      </c>
      <c r="R16" t="e">
        <f t="shared" si="4"/>
        <v>#NUM!</v>
      </c>
    </row>
    <row r="17" spans="1:18">
      <c r="A17" t="str">
        <f>IF(DATA!A19="","",DATA!A19)</f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 cm="1">
        <f t="array" ref="K17">IF(SUM(B17:J17)=0,"",SUMPRODUCT((($B$110:$J$110 - B17:J17) / ($B$110:$J$110 - $B$111:$J$111)) * DATA!$B$7:$J$7))</f>
        <v/>
      </c>
      <c r="P17" t="e">
        <f t="shared" si="2"/>
        <v>#N/A</v>
      </c>
      <c r="Q17" t="e">
        <f t="shared" si="3"/>
        <v>#N/A</v>
      </c>
      <c r="R17" t="e">
        <f t="shared" si="4"/>
        <v>#NUM!</v>
      </c>
    </row>
    <row r="18" spans="1:18">
      <c r="A18" t="str">
        <f>IF(DATA!A20="","",DATA!A20)</f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 cm="1">
        <f t="array" ref="K18">IF(SUM(B18:J18)=0,"",SUMPRODUCT((($B$110:$J$110 - B18:J18) / ($B$110:$J$110 - $B$111:$J$111)) * DATA!$B$7:$J$7))</f>
        <v/>
      </c>
      <c r="P18" t="e">
        <f t="shared" si="2"/>
        <v>#N/A</v>
      </c>
      <c r="Q18" t="e">
        <f t="shared" si="3"/>
        <v>#N/A</v>
      </c>
      <c r="R18" t="e">
        <f t="shared" si="4"/>
        <v>#NUM!</v>
      </c>
    </row>
    <row r="19" spans="1:18">
      <c r="A19" t="str">
        <f>IF(DATA!A21="","",DATA!A21)</f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 cm="1">
        <f t="array" ref="K19">IF(SUM(B19:J19)=0,"",SUMPRODUCT((($B$110:$J$110 - B19:J19) / ($B$110:$J$110 - $B$111:$J$111)) * DATA!$B$7:$J$7))</f>
        <v/>
      </c>
      <c r="P19" t="e">
        <f t="shared" si="2"/>
        <v>#N/A</v>
      </c>
      <c r="Q19" t="e">
        <f t="shared" si="3"/>
        <v>#N/A</v>
      </c>
      <c r="R19" t="e">
        <f t="shared" si="4"/>
        <v>#NUM!</v>
      </c>
    </row>
    <row r="20" spans="1:18">
      <c r="A20" t="str">
        <f>IF(DATA!A22="","",DATA!A22)</f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 cm="1">
        <f t="array" ref="K20">IF(SUM(B20:J20)=0,"",SUMPRODUCT((($B$110:$J$110 - B20:J20) / ($B$110:$J$110 - $B$111:$J$111)) * DATA!$B$7:$J$7))</f>
        <v/>
      </c>
      <c r="P20" t="e">
        <f t="shared" si="2"/>
        <v>#N/A</v>
      </c>
      <c r="Q20" t="e">
        <f t="shared" si="3"/>
        <v>#N/A</v>
      </c>
      <c r="R20" t="e">
        <f t="shared" si="4"/>
        <v>#NUM!</v>
      </c>
    </row>
    <row r="21" spans="1:18">
      <c r="A21" t="str">
        <f>IF(DATA!A23="","",DATA!A23)</f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 cm="1">
        <f t="array" ref="K21">IF(SUM(B21:J21)=0,"",SUMPRODUCT((($B$110:$J$110 - B21:J21) / ($B$110:$J$110 - $B$111:$J$111)) * DATA!$B$7:$J$7))</f>
        <v/>
      </c>
      <c r="P21" t="e">
        <f t="shared" si="2"/>
        <v>#N/A</v>
      </c>
      <c r="Q21" t="e">
        <f t="shared" si="3"/>
        <v>#N/A</v>
      </c>
      <c r="R21" t="e">
        <f t="shared" si="4"/>
        <v>#NUM!</v>
      </c>
    </row>
    <row r="22" spans="1:18">
      <c r="A22" t="str">
        <f>IF(DATA!A24="","",DATA!A24)</f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 cm="1">
        <f t="array" ref="K22">IF(SUM(B22:J22)=0,"",SUMPRODUCT((($B$110:$J$110 - B22:J22) / ($B$110:$J$110 - $B$111:$J$111)) * DATA!$B$7:$J$7))</f>
        <v/>
      </c>
      <c r="P22" t="e">
        <f t="shared" si="2"/>
        <v>#N/A</v>
      </c>
      <c r="Q22" t="e">
        <f t="shared" si="3"/>
        <v>#N/A</v>
      </c>
      <c r="R22" t="e">
        <f t="shared" si="4"/>
        <v>#NUM!</v>
      </c>
    </row>
    <row r="23" spans="1:18">
      <c r="A23" t="str">
        <f>IF(DATA!A25="","",DATA!A25)</f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 cm="1">
        <f t="array" ref="K23">IF(SUM(B23:J23)=0,"",SUMPRODUCT((($B$110:$J$110 - B23:J23) / ($B$110:$J$110 - $B$111:$J$111)) * DATA!$B$7:$J$7))</f>
        <v/>
      </c>
    </row>
    <row r="24" spans="1:18">
      <c r="A24" t="str">
        <f>IF(DATA!A26="","",DATA!A26)</f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 cm="1">
        <f t="array" ref="K24">IF(SUM(B24:J24)=0,"",SUMPRODUCT((($B$110:$J$110 - B24:J24) / ($B$110:$J$110 - $B$111:$J$111)) * DATA!$B$7:$J$7))</f>
        <v/>
      </c>
    </row>
    <row r="25" spans="1:18">
      <c r="A25" t="str">
        <f>IF(DATA!A27="","",DATA!A27)</f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 cm="1">
        <f t="array" ref="K25">IF(SUM(B25:J25)=0,"",SUMPRODUCT((($B$110:$J$110 - B25:J25) / ($B$110:$J$110 - $B$111:$J$111)) * DATA!$B$7:$J$7))</f>
        <v/>
      </c>
    </row>
    <row r="26" spans="1:18">
      <c r="A26" t="str">
        <f>IF(DATA!A28="","",DATA!A28)</f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 cm="1">
        <f t="array" ref="K26">IF(SUM(B26:J26)=0,"",SUMPRODUCT((($B$110:$J$110 - B26:J26) / ($B$110:$J$110 - $B$111:$J$111)) * DATA!$B$7:$J$7))</f>
        <v/>
      </c>
    </row>
    <row r="27" spans="1:18">
      <c r="A27" t="str">
        <f>IF(DATA!A29="","",DATA!A29)</f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 cm="1">
        <f t="array" ref="K27">IF(SUM(B27:J27)=0,"",SUMPRODUCT((($B$110:$J$110 - B27:J27) / ($B$110:$J$110 - $B$111:$J$111)) * DATA!$B$7:$J$7))</f>
        <v/>
      </c>
    </row>
    <row r="28" spans="1:18">
      <c r="A28" t="str">
        <f>IF(DATA!A30="","",DATA!A30)</f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 cm="1">
        <f t="array" ref="K28">IF(SUM(B28:J28)=0,"",SUMPRODUCT((($B$110:$J$110 - B28:J28) / ($B$110:$J$110 - $B$111:$J$111)) * DATA!$B$7:$J$7))</f>
        <v/>
      </c>
    </row>
    <row r="29" spans="1:18">
      <c r="A29" t="str">
        <f>IF(DATA!A31="","",DATA!A31)</f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 cm="1">
        <f t="array" ref="K29">IF(SUM(B29:J29)=0,"",SUMPRODUCT((($B$110:$J$110 - B29:J29) / ($B$110:$J$110 - $B$111:$J$111)) * DATA!$B$7:$J$7))</f>
        <v/>
      </c>
    </row>
    <row r="30" spans="1:18">
      <c r="A30" t="str">
        <f>IF(DATA!A32="","",DATA!A32)</f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 cm="1">
        <f t="array" ref="K30">IF(SUM(B30:J30)=0,"",SUMPRODUCT((($B$110:$J$110 - B30:J30) / ($B$110:$J$110 - $B$111:$J$111)) * DATA!$B$7:$J$7))</f>
        <v/>
      </c>
    </row>
    <row r="31" spans="1:18">
      <c r="A31" t="str">
        <f>IF(DATA!A33="","",DATA!A33)</f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 cm="1">
        <f t="array" ref="K31">IF(SUM(B31:J31)=0,"",SUMPRODUCT((($B$110:$J$110 - B31:J31) / ($B$110:$J$110 - $B$111:$J$111)) * DATA!$B$7:$J$7))</f>
        <v/>
      </c>
    </row>
    <row r="32" spans="1:18">
      <c r="A32" t="str">
        <f>IF(DATA!A34="","",DATA!A34)</f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 cm="1">
        <f t="array" ref="K32">IF(SUM(B32:J32)=0,"",SUMPRODUCT((($B$110:$J$110 - B32:J32) / ($B$110:$J$110 - $B$111:$J$111)) * DATA!$B$7:$J$7))</f>
        <v/>
      </c>
    </row>
    <row r="33" spans="1:11">
      <c r="A33" t="str">
        <f>IF(DATA!A35="","",DATA!A35)</f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 cm="1">
        <f t="array" ref="K33">IF(SUM(B33:J33)=0,"",SUMPRODUCT((($B$110:$J$110 - B33:J33) / ($B$110:$J$110 - $B$111:$J$111)) * DATA!$B$7:$J$7))</f>
        <v/>
      </c>
    </row>
    <row r="34" spans="1:11">
      <c r="A34" t="str">
        <f>IF(DATA!A36="","",DATA!A36)</f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 cm="1">
        <f t="array" ref="K34">IF(SUM(B34:J34)=0,"",SUMPRODUCT((($B$110:$J$110 - B34:J34) / ($B$110:$J$110 - $B$111:$J$111)) * DATA!$B$7:$J$7))</f>
        <v/>
      </c>
    </row>
    <row r="35" spans="1:11">
      <c r="A35" t="str">
        <f>IF(DATA!A37="","",DATA!A37)</f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 cm="1">
        <f t="array" ref="K35">IF(SUM(B35:J35)=0,"",SUMPRODUCT((($B$110:$J$110 - B35:J35) / ($B$110:$J$110 - $B$111:$J$111)) * DATA!$B$7:$J$7))</f>
        <v/>
      </c>
    </row>
    <row r="36" spans="1:11">
      <c r="A36" t="str">
        <f>IF(DATA!A38="","",DATA!A38)</f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 cm="1">
        <f t="array" ref="K36">IF(SUM(B36:J36)=0,"",SUMPRODUCT((($B$110:$J$110 - B36:J36) / ($B$110:$J$110 - $B$111:$J$111)) * DATA!$B$7:$J$7))</f>
        <v/>
      </c>
    </row>
    <row r="37" spans="1:11">
      <c r="A37" t="str">
        <f>IF(DATA!A39="","",DATA!A39)</f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 cm="1">
        <f t="array" ref="K37">IF(SUM(B37:J37)=0,"",SUMPRODUCT((($B$110:$J$110 - B37:J37) / ($B$110:$J$110 - $B$111:$J$111)) * DATA!$B$7:$J$7))</f>
        <v/>
      </c>
    </row>
    <row r="38" spans="1:11">
      <c r="A38" t="str">
        <f>IF(DATA!A40="","",DATA!A40)</f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 cm="1">
        <f t="array" ref="K38">IF(SUM(B38:J38)=0,"",SUMPRODUCT((($B$110:$J$110 - B38:J38) / ($B$110:$J$110 - $B$111:$J$111)) * DATA!$B$7:$J$7))</f>
        <v/>
      </c>
    </row>
    <row r="39" spans="1:11">
      <c r="A39" t="str">
        <f>IF(DATA!A41="","",DATA!A41)</f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 cm="1">
        <f t="array" ref="K39">IF(SUM(B39:J39)=0,"",SUMPRODUCT((($B$110:$J$110 - B39:J39) / ($B$110:$J$110 - $B$111:$J$111)) * DATA!$B$7:$J$7))</f>
        <v/>
      </c>
    </row>
    <row r="40" spans="1:11">
      <c r="A40" t="str">
        <f>IF(DATA!A42="","",DATA!A42)</f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 cm="1">
        <f t="array" ref="K40">IF(SUM(B40:J40)=0,"",SUMPRODUCT((($B$110:$J$110 - B40:J40) / ($B$110:$J$110 - $B$111:$J$111)) * DATA!$B$7:$J$7))</f>
        <v/>
      </c>
    </row>
    <row r="41" spans="1:11">
      <c r="A41" t="str">
        <f>IF(DATA!A43="","",DATA!A43)</f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 cm="1">
        <f t="array" ref="K41">IF(SUM(B41:J41)=0,"",SUMPRODUCT((($B$110:$J$110 - B41:J41) / ($B$110:$J$110 - $B$111:$J$111)) * DATA!$B$7:$J$7))</f>
        <v/>
      </c>
    </row>
    <row r="42" spans="1:11">
      <c r="A42" t="str">
        <f>IF(DATA!A44="","",DATA!A44)</f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 cm="1">
        <f t="array" ref="K42">IF(SUM(B42:J42)=0,"",SUMPRODUCT((($B$110:$J$110 - B42:J42) / ($B$110:$J$110 - $B$111:$J$111)) * DATA!$B$7:$J$7))</f>
        <v/>
      </c>
    </row>
    <row r="43" spans="1:11">
      <c r="A43" t="str">
        <f>IF(DATA!A45="","",DATA!A45)</f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 cm="1">
        <f t="array" ref="K43">IF(SUM(B43:J43)=0,"",SUMPRODUCT((($B$110:$J$110 - B43:J43) / ($B$110:$J$110 - $B$111:$J$111)) * DATA!$B$7:$J$7))</f>
        <v/>
      </c>
    </row>
    <row r="44" spans="1:11">
      <c r="A44" t="str">
        <f>IF(DATA!A46="","",DATA!A46)</f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 cm="1">
        <f t="array" ref="K44">IF(SUM(B44:J44)=0,"",SUMPRODUCT((($B$110:$J$110 - B44:J44) / ($B$110:$J$110 - $B$111:$J$111)) * DATA!$B$7:$J$7))</f>
        <v/>
      </c>
    </row>
    <row r="45" spans="1:11">
      <c r="A45" t="str">
        <f>IF(DATA!A47="","",DATA!A47)</f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 cm="1">
        <f t="array" ref="K45">IF(SUM(B45:J45)=0,"",SUMPRODUCT((($B$110:$J$110 - B45:J45) / ($B$110:$J$110 - $B$111:$J$111)) * DATA!$B$7:$J$7))</f>
        <v/>
      </c>
    </row>
    <row r="46" spans="1:11">
      <c r="A46" t="str">
        <f>IF(DATA!A48="","",DATA!A48)</f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 cm="1">
        <f t="array" ref="K46">IF(SUM(B46:J46)=0,"",SUMPRODUCT((($B$110:$J$110 - B46:J46) / ($B$110:$J$110 - $B$111:$J$111)) * DATA!$B$7:$J$7))</f>
        <v/>
      </c>
    </row>
    <row r="47" spans="1:11">
      <c r="A47" t="str">
        <f>IF(DATA!A49="","",DATA!A49)</f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 cm="1">
        <f t="array" ref="K47">IF(SUM(B47:J47)=0,"",SUMPRODUCT((($B$110:$J$110 - B47:J47) / ($B$110:$J$110 - $B$111:$J$111)) * DATA!$B$7:$J$7))</f>
        <v/>
      </c>
    </row>
    <row r="48" spans="1:11">
      <c r="A48" t="str">
        <f>IF(DATA!A50="","",DATA!A50)</f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 cm="1">
        <f t="array" ref="K48">IF(SUM(B48:J48)=0,"",SUMPRODUCT((($B$110:$J$110 - B48:J48) / ($B$110:$J$110 - $B$111:$J$111)) * DATA!$B$7:$J$7))</f>
        <v/>
      </c>
    </row>
    <row r="49" spans="1:11">
      <c r="A49" t="str">
        <f>IF(DATA!A51="","",DATA!A51)</f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 cm="1">
        <f t="array" ref="K49">IF(SUM(B49:J49)=0,"",SUMPRODUCT((($B$110:$J$110 - B49:J49) / ($B$110:$J$110 - $B$111:$J$111)) * DATA!$B$7:$J$7))</f>
        <v/>
      </c>
    </row>
    <row r="50" spans="1:11">
      <c r="A50" t="str">
        <f>IF(DATA!A52="","",DATA!A52)</f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 cm="1">
        <f t="array" ref="K50">IF(SUM(B50:J50)=0,"",SUMPRODUCT((($B$110:$J$110 - B50:J50) / ($B$110:$J$110 - $B$111:$J$111)) * DATA!$B$7:$J$7))</f>
        <v/>
      </c>
    </row>
    <row r="51" spans="1:11">
      <c r="A51" t="str">
        <f>IF(DATA!A53="","",DATA!A53)</f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 cm="1">
        <f t="array" ref="K51">IF(SUM(B51:J51)=0,"",SUMPRODUCT((($B$110:$J$110 - B51:J51) / ($B$110:$J$110 - $B$111:$J$111)) * DATA!$B$7:$J$7))</f>
        <v/>
      </c>
    </row>
    <row r="52" spans="1:11">
      <c r="A52" t="str">
        <f>IF(DATA!A54="","",DATA!A54)</f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 cm="1">
        <f t="array" ref="K52">IF(SUM(B52:J52)=0,"",SUMPRODUCT((($B$110:$J$110 - B52:J52) / ($B$110:$J$110 - $B$111:$J$111)) * DATA!$B$7:$J$7))</f>
        <v/>
      </c>
    </row>
    <row r="53" spans="1:11">
      <c r="A53" t="str">
        <f>IF(DATA!A55="","",DATA!A55)</f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 cm="1">
        <f t="array" ref="K53">IF(SUM(B53:J53)=0,"",SUMPRODUCT((($B$110:$J$110 - B53:J53) / ($B$110:$J$110 - $B$111:$J$111)) * DATA!$B$7:$J$7))</f>
        <v/>
      </c>
    </row>
    <row r="54" spans="1:11">
      <c r="A54" t="str">
        <f>IF(DATA!A56="","",DATA!A56)</f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 cm="1">
        <f t="array" ref="K54">IF(SUM(B54:J54)=0,"",SUMPRODUCT((($B$110:$J$110 - B54:J54) / ($B$110:$J$110 - $B$111:$J$111)) * DATA!$B$7:$J$7))</f>
        <v/>
      </c>
    </row>
    <row r="55" spans="1:11">
      <c r="A55" t="str">
        <f>IF(DATA!A57="","",DATA!A57)</f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 cm="1">
        <f t="array" ref="K55">IF(SUM(B55:J55)=0,"",SUMPRODUCT((($B$110:$J$110 - B55:J55) / ($B$110:$J$110 - $B$111:$J$111)) * DATA!$B$7:$J$7))</f>
        <v/>
      </c>
    </row>
    <row r="56" spans="1:11">
      <c r="A56" t="str">
        <f>IF(DATA!A58="","",DATA!A58)</f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 cm="1">
        <f t="array" ref="K56">IF(SUM(B56:J56)=0,"",SUMPRODUCT((($B$110:$J$110 - B56:J56) / ($B$110:$J$110 - $B$111:$J$111)) * DATA!$B$7:$J$7))</f>
        <v/>
      </c>
    </row>
    <row r="57" spans="1:11">
      <c r="A57" t="str">
        <f>IF(DATA!A59="","",DATA!A59)</f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 cm="1">
        <f t="array" ref="K57">IF(SUM(B57:J57)=0,"",SUMPRODUCT((($B$110:$J$110 - B57:J57) / ($B$110:$J$110 - $B$111:$J$111)) * DATA!$B$7:$J$7))</f>
        <v/>
      </c>
    </row>
    <row r="58" spans="1:11">
      <c r="A58" t="str">
        <f>IF(DATA!A60="","",DATA!A60)</f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 cm="1">
        <f t="array" ref="K58">IF(SUM(B58:J58)=0,"",SUMPRODUCT((($B$110:$J$110 - B58:J58) / ($B$110:$J$110 - $B$111:$J$111)) * DATA!$B$7:$J$7))</f>
        <v/>
      </c>
    </row>
    <row r="59" spans="1:11">
      <c r="A59" t="str">
        <f>IF(DATA!A61="","",DATA!A61)</f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 cm="1">
        <f t="array" ref="K59">IF(SUM(B59:J59)=0,"",SUMPRODUCT((($B$110:$J$110 - B59:J59) / ($B$110:$J$110 - $B$111:$J$111)) * DATA!$B$7:$J$7))</f>
        <v/>
      </c>
    </row>
    <row r="60" spans="1:11">
      <c r="A60" t="str">
        <f>IF(DATA!A62="","",DATA!A62)</f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 cm="1">
        <f t="array" ref="K60">IF(SUM(B60:J60)=0,"",SUMPRODUCT((($B$110:$J$110 - B60:J60) / ($B$110:$J$110 - $B$111:$J$111)) * DATA!$B$7:$J$7))</f>
        <v/>
      </c>
    </row>
    <row r="61" spans="1:11">
      <c r="A61" t="str">
        <f>IF(DATA!A63="","",DATA!A63)</f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 cm="1">
        <f t="array" ref="K61">IF(SUM(B61:J61)=0,"",SUMPRODUCT((($B$110:$J$110 - B61:J61) / ($B$110:$J$110 - $B$111:$J$111)) * DATA!$B$7:$J$7))</f>
        <v/>
      </c>
    </row>
    <row r="62" spans="1:11">
      <c r="A62" t="str">
        <f>IF(DATA!A64="","",DATA!A64)</f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 cm="1">
        <f t="array" ref="K62">IF(SUM(B62:J62)=0,"",SUMPRODUCT((($B$110:$J$110 - B62:J62) / ($B$110:$J$110 - $B$111:$J$111)) * DATA!$B$7:$J$7))</f>
        <v/>
      </c>
    </row>
    <row r="63" spans="1:11">
      <c r="A63" t="str">
        <f>IF(DATA!A65="","",DATA!A65)</f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 cm="1">
        <f t="array" ref="K63">IF(SUM(B63:J63)=0,"",SUMPRODUCT((($B$110:$J$110 - B63:J63) / ($B$110:$J$110 - $B$111:$J$111)) * DATA!$B$7:$J$7))</f>
        <v/>
      </c>
    </row>
    <row r="64" spans="1:11">
      <c r="A64" t="str">
        <f>IF(DATA!A66="","",DATA!A66)</f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 cm="1">
        <f t="array" ref="K64">IF(SUM(B64:J64)=0,"",SUMPRODUCT((($B$110:$J$110 - B64:J64) / ($B$110:$J$110 - $B$111:$J$111)) * DATA!$B$7:$J$7))</f>
        <v/>
      </c>
    </row>
    <row r="65" spans="1:11">
      <c r="A65" t="str">
        <f>IF(DATA!A67="","",DATA!A67)</f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 cm="1">
        <f t="array" ref="K65">IF(SUM(B65:J65)=0,"",SUMPRODUCT((($B$110:$J$110 - B65:J65) / ($B$110:$J$110 - $B$111:$J$111)) * DATA!$B$7:$J$7))</f>
        <v/>
      </c>
    </row>
    <row r="66" spans="1:11">
      <c r="A66" t="str">
        <f>IF(DATA!A68="","",DATA!A68)</f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 cm="1">
        <f t="array" ref="K66">IF(SUM(B66:J66)=0,"",SUMPRODUCT((($B$110:$J$110 - B66:J66) / ($B$110:$J$110 - $B$111:$J$111)) * DATA!$B$7:$J$7))</f>
        <v/>
      </c>
    </row>
    <row r="67" spans="1:11">
      <c r="A67" t="str">
        <f>IF(DATA!A69="","",DATA!A69)</f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 cm="1">
        <f t="array" ref="K67">IF(SUM(B67:J67)=0,"",SUMPRODUCT((($B$110:$J$110 - B67:J67) / ($B$110:$J$110 - $B$111:$J$111)) * DATA!$B$7:$J$7))</f>
        <v/>
      </c>
    </row>
    <row r="68" spans="1:11">
      <c r="A68" t="str">
        <f>IF(DATA!A70="","",DATA!A70)</f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 cm="1">
        <f t="array" ref="K68">IF(SUM(B68:J68)=0,"",SUMPRODUCT((($B$110:$J$110 - B68:J68) / ($B$110:$J$110 - $B$111:$J$111)) * DATA!$B$7:$J$7))</f>
        <v/>
      </c>
    </row>
    <row r="69" spans="1:11">
      <c r="A69" t="str">
        <f>IF(DATA!A71="","",DATA!A71)</f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 cm="1">
        <f t="array" ref="K69">IF(SUM(B69:J69)=0,"",SUMPRODUCT((($B$110:$J$110 - B69:J69) / ($B$110:$J$110 - $B$111:$J$111)) * DATA!$B$7:$J$7))</f>
        <v/>
      </c>
    </row>
    <row r="70" spans="1:11">
      <c r="A70" t="str">
        <f>IF(DATA!A72="","",DATA!A72)</f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 cm="1">
        <f t="array" ref="K70">IF(SUM(B70:J70)=0,"",SUMPRODUCT((($B$110:$J$110 - B70:J70) / ($B$110:$J$110 - $B$111:$J$111)) * DATA!$B$7:$J$7))</f>
        <v/>
      </c>
    </row>
    <row r="71" spans="1:11">
      <c r="A71" t="str">
        <f>IF(DATA!A73="","",DATA!A73)</f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 cm="1">
        <f t="array" ref="K71">IF(SUM(B71:J71)=0,"",SUMPRODUCT((($B$110:$J$110 - B71:J71) / ($B$110:$J$110 - $B$111:$J$111)) * DATA!$B$7:$J$7))</f>
        <v/>
      </c>
    </row>
    <row r="72" spans="1:11">
      <c r="A72" t="str">
        <f>IF(DATA!A74="","",DATA!A74)</f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 cm="1">
        <f t="array" ref="K72">IF(SUM(B72:J72)=0,"",SUMPRODUCT((($B$110:$J$110 - B72:J72) / ($B$110:$J$110 - $B$111:$J$111)) * DATA!$B$7:$J$7))</f>
        <v/>
      </c>
    </row>
    <row r="73" spans="1:11">
      <c r="A73" t="str">
        <f>IF(DATA!A75="","",DATA!A75)</f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 cm="1">
        <f t="array" ref="K73">IF(SUM(B73:J73)=0,"",SUMPRODUCT((($B$110:$J$110 - B73:J73) / ($B$110:$J$110 - $B$111:$J$111)) * DATA!$B$7:$J$7))</f>
        <v/>
      </c>
    </row>
    <row r="74" spans="1:11">
      <c r="A74" t="str">
        <f>IF(DATA!A76="","",DATA!A76)</f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 cm="1">
        <f t="array" ref="K74">IF(SUM(B74:J74)=0,"",SUMPRODUCT((($B$110:$J$110 - B74:J74) / ($B$110:$J$110 - $B$111:$J$111)) * DATA!$B$7:$J$7))</f>
        <v/>
      </c>
    </row>
    <row r="75" spans="1:11">
      <c r="A75" t="str">
        <f>IF(DATA!A77="","",DATA!A77)</f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 cm="1">
        <f t="array" ref="K75">IF(SUM(B75:J75)=0,"",SUMPRODUCT((($B$110:$J$110 - B75:J75) / ($B$110:$J$110 - $B$111:$J$111)) * DATA!$B$7:$J$7))</f>
        <v/>
      </c>
    </row>
    <row r="76" spans="1:11">
      <c r="A76" t="str">
        <f>IF(DATA!A78="","",DATA!A78)</f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 cm="1">
        <f t="array" ref="K76">IF(SUM(B76:J76)=0,"",SUMPRODUCT((($B$110:$J$110 - B76:J76) / ($B$110:$J$110 - $B$111:$J$111)) * DATA!$B$7:$J$7))</f>
        <v/>
      </c>
    </row>
    <row r="77" spans="1:11">
      <c r="A77" t="str">
        <f>IF(DATA!A79="","",DATA!A79)</f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 cm="1">
        <f t="array" ref="K77">IF(SUM(B77:J77)=0,"",SUMPRODUCT((($B$110:$J$110 - B77:J77) / ($B$110:$J$110 - $B$111:$J$111)) * DATA!$B$7:$J$7))</f>
        <v/>
      </c>
    </row>
    <row r="78" spans="1:11">
      <c r="A78" t="str">
        <f>IF(DATA!A80="","",DATA!A80)</f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 cm="1">
        <f t="array" ref="K78">IF(SUM(B78:J78)=0,"",SUMPRODUCT((($B$110:$J$110 - B78:J78) / ($B$110:$J$110 - $B$111:$J$111)) * DATA!$B$7:$J$7))</f>
        <v/>
      </c>
    </row>
    <row r="79" spans="1:11">
      <c r="A79" t="str">
        <f>IF(DATA!A81="","",DATA!A81)</f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 cm="1">
        <f t="array" ref="K79">IF(SUM(B79:J79)=0,"",SUMPRODUCT((($B$110:$J$110 - B79:J79) / ($B$110:$J$110 - $B$111:$J$111)) * DATA!$B$7:$J$7))</f>
        <v/>
      </c>
    </row>
    <row r="80" spans="1:11">
      <c r="A80" t="str">
        <f>IF(DATA!A82="","",DATA!A82)</f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 cm="1">
        <f t="array" ref="K80">IF(SUM(B80:J80)=0,"",SUMPRODUCT((($B$110:$J$110 - B80:J80) / ($B$110:$J$110 - $B$111:$J$111)) * DATA!$B$7:$J$7))</f>
        <v/>
      </c>
    </row>
    <row r="81" spans="1:11">
      <c r="A81" t="str">
        <f>IF(DATA!A83="","",DATA!A83)</f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 cm="1">
        <f t="array" ref="K81">IF(SUM(B81:J81)=0,"",SUMPRODUCT((($B$110:$J$110 - B81:J81) / ($B$110:$J$110 - $B$111:$J$111)) * DATA!$B$7:$J$7))</f>
        <v/>
      </c>
    </row>
    <row r="82" spans="1:11">
      <c r="A82" t="str">
        <f>IF(DATA!A84="","",DATA!A84)</f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 cm="1">
        <f t="array" ref="K82">IF(SUM(B82:J82)=0,"",SUMPRODUCT((($B$110:$J$110 - B82:J82) / ($B$110:$J$110 - $B$111:$J$111)) * DATA!$B$7:$J$7))</f>
        <v/>
      </c>
    </row>
    <row r="83" spans="1:11">
      <c r="A83" t="str">
        <f>IF(DATA!A85="","",DATA!A85)</f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 cm="1">
        <f t="array" ref="K83">IF(SUM(B83:J83)=0,"",SUMPRODUCT((($B$110:$J$110 - B83:J83) / ($B$110:$J$110 - $B$111:$J$111)) * DATA!$B$7:$J$7))</f>
        <v/>
      </c>
    </row>
    <row r="84" spans="1:11">
      <c r="A84" t="str">
        <f>IF(DATA!A86="","",DATA!A86)</f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 cm="1">
        <f t="array" ref="K84">IF(SUM(B84:J84)=0,"",SUMPRODUCT((($B$110:$J$110 - B84:J84) / ($B$110:$J$110 - $B$111:$J$111)) * DATA!$B$7:$J$7))</f>
        <v/>
      </c>
    </row>
    <row r="85" spans="1:11">
      <c r="A85" t="str">
        <f>IF(DATA!A87="","",DATA!A87)</f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 cm="1">
        <f t="array" ref="K85">IF(SUM(B85:J85)=0,"",SUMPRODUCT((($B$110:$J$110 - B85:J85) / ($B$110:$J$110 - $B$111:$J$111)) * DATA!$B$7:$J$7))</f>
        <v/>
      </c>
    </row>
    <row r="86" spans="1:11">
      <c r="A86" t="str">
        <f>IF(DATA!A88="","",DATA!A88)</f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 cm="1">
        <f t="array" ref="K86">IF(SUM(B86:J86)=0,"",SUMPRODUCT((($B$110:$J$110 - B86:J86) / ($B$110:$J$110 - $B$111:$J$111)) * DATA!$B$7:$J$7))</f>
        <v/>
      </c>
    </row>
    <row r="87" spans="1:11">
      <c r="A87" t="str">
        <f>IF(DATA!A89="","",DATA!A89)</f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 cm="1">
        <f t="array" ref="K87">IF(SUM(B87:J87)=0,"",SUMPRODUCT((($B$110:$J$110 - B87:J87) / ($B$110:$J$110 - $B$111:$J$111)) * DATA!$B$7:$J$7))</f>
        <v/>
      </c>
    </row>
    <row r="88" spans="1:11">
      <c r="A88" t="str">
        <f>IF(DATA!A90="","",DATA!A90)</f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 cm="1">
        <f t="array" ref="K88">IF(SUM(B88:J88)=0,"",SUMPRODUCT((($B$110:$J$110 - B88:J88) / ($B$110:$J$110 - $B$111:$J$111)) * DATA!$B$7:$J$7))</f>
        <v/>
      </c>
    </row>
    <row r="89" spans="1:11">
      <c r="A89" t="str">
        <f>IF(DATA!A91="","",DATA!A91)</f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 cm="1">
        <f t="array" ref="K89">IF(SUM(B89:J89)=0,"",SUMPRODUCT((($B$110:$J$110 - B89:J89) / ($B$110:$J$110 - $B$111:$J$111)) * DATA!$B$7:$J$7))</f>
        <v/>
      </c>
    </row>
    <row r="90" spans="1:11">
      <c r="A90" t="str">
        <f>IF(DATA!A92="","",DATA!A92)</f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 cm="1">
        <f t="array" ref="K90">IF(SUM(B90:J90)=0,"",SUMPRODUCT((($B$110:$J$110 - B90:J90) / ($B$110:$J$110 - $B$111:$J$111)) * DATA!$B$7:$J$7))</f>
        <v/>
      </c>
    </row>
    <row r="91" spans="1:11">
      <c r="A91" t="str">
        <f>IF(DATA!A93="","",DATA!A93)</f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 cm="1">
        <f t="array" ref="K91">IF(SUM(B91:J91)=0,"",SUMPRODUCT((($B$110:$J$110 - B91:J91) / ($B$110:$J$110 - $B$111:$J$111)) * DATA!$B$7:$J$7))</f>
        <v/>
      </c>
    </row>
    <row r="92" spans="1:11">
      <c r="A92" t="str">
        <f>IF(DATA!A94="","",DATA!A94)</f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 cm="1">
        <f t="array" ref="K92">IF(SUM(B92:J92)=0,"",SUMPRODUCT((($B$110:$J$110 - B92:J92) / ($B$110:$J$110 - $B$111:$J$111)) * DATA!$B$7:$J$7))</f>
        <v/>
      </c>
    </row>
    <row r="93" spans="1:11">
      <c r="A93" t="str">
        <f>IF(DATA!A95="","",DATA!A95)</f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 cm="1">
        <f t="array" ref="K93">IF(SUM(B93:J93)=0,"",SUMPRODUCT((($B$110:$J$110 - B93:J93) / ($B$110:$J$110 - $B$111:$J$111)) * DATA!$B$7:$J$7))</f>
        <v/>
      </c>
    </row>
    <row r="94" spans="1:11">
      <c r="A94" t="str">
        <f>IF(DATA!A96="","",DATA!A96)</f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 cm="1">
        <f t="array" ref="K94">IF(SUM(B94:J94)=0,"",SUMPRODUCT((($B$110:$J$110 - B94:J94) / ($B$110:$J$110 - $B$111:$J$111)) * DATA!$B$7:$J$7))</f>
        <v/>
      </c>
    </row>
    <row r="95" spans="1:11">
      <c r="A95" t="str">
        <f>IF(DATA!A97="","",DATA!A97)</f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 cm="1">
        <f t="array" ref="K95">IF(SUM(B95:J95)=0,"",SUMPRODUCT((($B$110:$J$110 - B95:J95) / ($B$110:$J$110 - $B$111:$J$111)) * DATA!$B$7:$J$7))</f>
        <v/>
      </c>
    </row>
    <row r="96" spans="1:11">
      <c r="A96" t="str">
        <f>IF(DATA!A98="","",DATA!A98)</f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 cm="1">
        <f t="array" ref="K96">IF(SUM(B96:J96)=0,"",SUMPRODUCT((($B$110:$J$110 - B96:J96) / ($B$110:$J$110 - $B$111:$J$111)) * DATA!$B$7:$J$7))</f>
        <v/>
      </c>
    </row>
    <row r="97" spans="1:12">
      <c r="A97" t="str">
        <f>IF(DATA!A99="","",DATA!A99)</f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 cm="1">
        <f t="array" ref="K97">IF(SUM(B97:J97)=0,"",SUMPRODUCT((($B$110:$J$110 - B97:J97) / ($B$110:$J$110 - $B$111:$J$111)) * DATA!$B$7:$J$7))</f>
        <v/>
      </c>
    </row>
    <row r="98" spans="1:12">
      <c r="A98" t="str">
        <f>IF(DATA!A100="","",DATA!A100)</f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 cm="1">
        <f t="array" ref="K98">IF(SUM(B98:J98)=0,"",SUMPRODUCT((($B$110:$J$110 - B98:J98) / ($B$110:$J$110 - $B$111:$J$111)) * DATA!$B$7:$J$7))</f>
        <v/>
      </c>
    </row>
    <row r="99" spans="1:12">
      <c r="A99" t="str">
        <f>IF(DATA!A101="","",DATA!A101)</f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 cm="1">
        <f t="array" ref="K99">IF(SUM(B99:J99)=0,"",SUMPRODUCT((($B$110:$J$110 - B99:J99) / ($B$110:$J$110 - $B$111:$J$111)) * DATA!$B$7:$J$7))</f>
        <v/>
      </c>
    </row>
    <row r="100" spans="1:12">
      <c r="A100" t="str">
        <f>IF(DATA!A102="","",DATA!A102)</f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 cm="1">
        <f t="array" ref="K100">IF(SUM(B100:J100)=0,"",SUMPRODUCT((($B$110:$J$110 - B100:J100) / ($B$110:$J$110 - $B$111:$J$111)) * DATA!$B$7:$J$7))</f>
        <v/>
      </c>
    </row>
    <row r="101" spans="1:12">
      <c r="A101" t="str">
        <f>IF(DATA!A103="","",DATA!A103)</f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 cm="1">
        <f t="array" ref="K101">IF(SUM(B101:J101)=0,"",SUMPRODUCT((($B$110:$J$110 - B101:J101) / ($B$110:$J$110 - $B$111:$J$111)) * DATA!$B$7:$J$7))</f>
        <v/>
      </c>
    </row>
    <row r="102" spans="1:12">
      <c r="A102" t="str">
        <f>IF(DATA!A104="","",DATA!A104)</f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 cm="1">
        <f t="array" ref="K102">IF(SUM(B102:J102)=0,"",SUMPRODUCT((($B$110:$J$110 - B102:J102) / ($B$110:$J$110 - $B$111:$J$111)) * DATA!$B$7:$J$7))</f>
        <v/>
      </c>
    </row>
    <row r="103" spans="1:12">
      <c r="A103" t="str">
        <f>IF(DATA!A105="","",DATA!A105)</f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 cm="1">
        <f t="array" ref="K103">IF(SUM(B103:J103)=0,"",SUMPRODUCT((($B$110:$J$110 - B103:J103) / ($B$110:$J$110 - $B$111:$J$111)) * DATA!$B$7:$J$7))</f>
        <v/>
      </c>
    </row>
    <row r="104" spans="1:12">
      <c r="A104" t="str">
        <f>IF(DATA!A106="","",DATA!A106)</f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 cm="1">
        <f t="array" ref="K104">IF(SUM(B104:J104)=0,"",SUMPRODUCT((($B$110:$J$110 - B104:J104) / ($B$110:$J$110 - $B$111:$J$111)) * DATA!$B$7:$J$7))</f>
        <v/>
      </c>
    </row>
    <row r="105" spans="1:12">
      <c r="A105" t="str">
        <f>IF(DATA!A107="","",DATA!A107)</f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 cm="1">
        <f t="array" ref="K105">IF(SUM(B105:J105)=0,"",SUMPRODUCT((($B$110:$J$110 - B105:J105) / ($B$110:$J$110 - $B$111:$J$111)) * DATA!$B$7:$J$7))</f>
        <v/>
      </c>
    </row>
    <row r="110" spans="1:12" ht="30.75">
      <c r="A110" s="19" t="s">
        <v>117</v>
      </c>
      <c r="B110">
        <f>IF(B$2="benefice",MAX(B$6:B$105),MIN(B$6:B$105))</f>
        <v>0.1015366927726632</v>
      </c>
      <c r="C110">
        <f t="shared" ref="C110:J110" si="5">IF(C$2="benefice",MAX(C$6:C$105),MIN(C$6:C$105))</f>
        <v>0.1451766549624961</v>
      </c>
      <c r="D110">
        <f t="shared" si="5"/>
        <v>4.7789046857413565E-2</v>
      </c>
      <c r="E110">
        <f t="shared" si="5"/>
        <v>0.12332180413918596</v>
      </c>
      <c r="F110">
        <f t="shared" si="5"/>
        <v>2.8501144749378569E-2</v>
      </c>
      <c r="G110">
        <f t="shared" si="5"/>
        <v>5.0067072590806422E-2</v>
      </c>
      <c r="H110">
        <f t="shared" si="5"/>
        <v>0.12034532983488121</v>
      </c>
      <c r="I110">
        <f t="shared" si="5"/>
        <v>4.725469875668286E-2</v>
      </c>
      <c r="J110">
        <f t="shared" si="5"/>
        <v>0.10548523206751054</v>
      </c>
      <c r="K110">
        <f>MIN(K6:K105)</f>
        <v>0.18103643685670348</v>
      </c>
      <c r="L110">
        <f>MIN(L6:L105)</f>
        <v>0.10913698182257225</v>
      </c>
    </row>
    <row r="111" spans="1:12">
      <c r="A111" s="20" t="s">
        <v>118</v>
      </c>
      <c r="B111">
        <f>IF(B$2="benefice",MIN(B$6:B$105),MAX(B$6:B$105))</f>
        <v>0.91936860001429588</v>
      </c>
      <c r="C111">
        <f t="shared" ref="C111:J111" si="6">IF(C$2="benefice",MIN(C$6:C$105),MAX(C$6:C$105))</f>
        <v>0.88222736477209174</v>
      </c>
      <c r="D111">
        <f t="shared" si="6"/>
        <v>0.79648411429022614</v>
      </c>
      <c r="E111">
        <f t="shared" si="6"/>
        <v>0.79785470253685464</v>
      </c>
      <c r="F111">
        <f t="shared" si="6"/>
        <v>0.99134416519577639</v>
      </c>
      <c r="G111">
        <f t="shared" si="6"/>
        <v>0.77026265524317572</v>
      </c>
      <c r="H111">
        <f t="shared" si="6"/>
        <v>0.76640973210634877</v>
      </c>
      <c r="I111">
        <f t="shared" si="6"/>
        <v>0.55500485116909393</v>
      </c>
      <c r="J111">
        <f t="shared" si="6"/>
        <v>0.8438818565400843</v>
      </c>
      <c r="K111">
        <f>MAX(K6:K105)</f>
        <v>0.53402600721177007</v>
      </c>
      <c r="L111">
        <f>MAX(L6:L105)</f>
        <v>0.22601941403203732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BC5A-49CE-44CE-9502-A0CD8CE71D24}">
  <dimension ref="A1:Y19"/>
  <sheetViews>
    <sheetView topLeftCell="J1" workbookViewId="0">
      <selection activeCell="W6" sqref="W6:Y12"/>
    </sheetView>
  </sheetViews>
  <sheetFormatPr defaultRowHeight="15"/>
  <cols>
    <col min="1" max="1" width="23.140625" bestFit="1" customWidth="1"/>
    <col min="2" max="2" width="13.85546875" bestFit="1" customWidth="1"/>
    <col min="3" max="3" width="14.7109375" bestFit="1" customWidth="1"/>
    <col min="4" max="4" width="20.85546875" bestFit="1" customWidth="1"/>
    <col min="5" max="5" width="21.140625" bestFit="1" customWidth="1"/>
    <col min="6" max="7" width="21.5703125" bestFit="1" customWidth="1"/>
    <col min="8" max="8" width="21.85546875" bestFit="1" customWidth="1"/>
    <col min="9" max="9" width="14" bestFit="1" customWidth="1"/>
    <col min="10" max="10" width="22.5703125" bestFit="1" customWidth="1"/>
    <col min="11" max="19" width="18.85546875" bestFit="1" customWidth="1"/>
    <col min="20" max="20" width="22.5703125" bestFit="1" customWidth="1"/>
    <col min="21" max="21" width="24.42578125" bestFit="1" customWidth="1"/>
    <col min="22" max="22" width="15.5703125" bestFit="1" customWidth="1"/>
    <col min="23" max="23" width="23.140625" bestFit="1" customWidth="1"/>
    <col min="24" max="24" width="11.85546875" bestFit="1" customWidth="1"/>
    <col min="25" max="25" width="5.28515625" bestFit="1" customWidth="1"/>
  </cols>
  <sheetData>
    <row r="1" spans="1:25">
      <c r="A1" s="1" t="s">
        <v>111</v>
      </c>
      <c r="B1" s="1" t="str" cm="1">
        <f t="array" ref="B1:J1">DATA!B2:J2</f>
        <v>EF Single score</v>
      </c>
      <c r="C1" s="1" t="str">
        <v>Density (g/cm³)</v>
      </c>
      <c r="D1" s="1" t="str">
        <v>Tensile Modulus (GPa)</v>
      </c>
      <c r="E1" s="1" t="str">
        <v>Tensile Strength (MPa)</v>
      </c>
      <c r="F1" s="1" t="str">
        <v>Elongation at break (%)</v>
      </c>
      <c r="G1" s="1" t="str">
        <v>Flexural modulus (GPa)</v>
      </c>
      <c r="H1" s="1" t="str">
        <v>Flexural strength (MPa)</v>
      </c>
      <c r="I1" s="1" t="str">
        <v>CTE (µm/m·°C)</v>
      </c>
      <c r="J1" s="1" t="str">
        <v>Raw material cost (€/kg)</v>
      </c>
      <c r="K1" s="1" t="s">
        <v>119</v>
      </c>
      <c r="L1" s="1" t="s">
        <v>119</v>
      </c>
      <c r="M1" s="1" t="s">
        <v>119</v>
      </c>
      <c r="N1" s="1" t="s">
        <v>119</v>
      </c>
      <c r="O1" s="1" t="s">
        <v>119</v>
      </c>
      <c r="P1" s="1" t="s">
        <v>119</v>
      </c>
      <c r="Q1" s="1" t="s">
        <v>119</v>
      </c>
      <c r="R1" s="1" t="s">
        <v>119</v>
      </c>
      <c r="S1" s="1" t="s">
        <v>119</v>
      </c>
      <c r="T1" s="1" t="s">
        <v>120</v>
      </c>
      <c r="U1" s="1" t="s">
        <v>121</v>
      </c>
      <c r="V1" s="1" t="s">
        <v>115</v>
      </c>
      <c r="W1" s="1" t="s">
        <v>122</v>
      </c>
      <c r="X1" s="1" t="s">
        <v>123</v>
      </c>
      <c r="Y1" s="1" t="s">
        <v>85</v>
      </c>
    </row>
    <row r="2" spans="1:25">
      <c r="B2" t="str" cm="1">
        <f t="array" ref="B2:J2">DATA!B3:J3</f>
        <v>cout</v>
      </c>
      <c r="C2" t="str">
        <v>cout</v>
      </c>
      <c r="D2" t="str">
        <v>benefice</v>
      </c>
      <c r="E2" t="str">
        <v>benefice</v>
      </c>
      <c r="F2" t="str">
        <v>benefice</v>
      </c>
      <c r="G2" t="str">
        <v>benefice</v>
      </c>
      <c r="H2" t="str">
        <v>benefice</v>
      </c>
      <c r="I2" t="str">
        <v>cout</v>
      </c>
      <c r="J2" t="str">
        <v>cout</v>
      </c>
    </row>
    <row r="6" spans="1:25">
      <c r="A6" t="str">
        <f>IF(DATA!A8="","",DATA!A8)</f>
        <v>Flax/Epoxy</v>
      </c>
      <c r="B6" cm="1">
        <f t="array" ref="B6:J12">DATA!B8:J14</f>
        <v>0.59</v>
      </c>
      <c r="C6">
        <v>1.35</v>
      </c>
      <c r="D6">
        <v>35</v>
      </c>
      <c r="E6">
        <v>610</v>
      </c>
      <c r="F6">
        <v>1.8</v>
      </c>
      <c r="G6">
        <v>39</v>
      </c>
      <c r="H6">
        <v>520</v>
      </c>
      <c r="I6">
        <v>1.9999999999999998E-5</v>
      </c>
      <c r="J6">
        <v>3.8</v>
      </c>
      <c r="K6" cm="1">
        <f t="array" ref="K6">IF(B$2="benefice",B6/SUM(B$6:B$12),MIN(IF(B$6:B$12&gt;0,B$6:B$12))/B6)</f>
        <v>0.93220338983050854</v>
      </c>
      <c r="L6" cm="1">
        <f t="array" ref="L6">IF(C$2="benefice",C6/SUM(C$6:C$12),MIN(IF(C$6:C$12&gt;0,C$6:C$12))/C6)</f>
        <v>0.96296296296296291</v>
      </c>
      <c r="M6" cm="1">
        <f t="array" ref="M6">IF(D$2="benefice",D6/SUM(D$6:D$12),MIN(IF(D$6:D$12&gt;0,D$6:D$12))/D6)</f>
        <v>6.9306930693069313E-2</v>
      </c>
      <c r="N6" cm="1">
        <f t="array" ref="N6">IF(E$2="benefice",E6/SUM(E$6:E$12),MIN(IF(E$6:E$12&gt;0,E$6:E$12))/E6)</f>
        <v>0.10714913051115404</v>
      </c>
      <c r="O6" cm="1">
        <f t="array" ref="O6">IF(F$2="benefice",F6/SUM(F$6:F$12),MIN(IF(F$6:F$12&gt;0,F$6:F$12))/F6)</f>
        <v>3.451581975071908E-2</v>
      </c>
      <c r="P6" cm="1">
        <f t="array" ref="P6">IF(G$2="benefice",G6/SUM(G$6:G$12),MIN(IF(G$6:G$12&gt;0,G$6:G$12))/G6)</f>
        <v>7.3446327683615822E-2</v>
      </c>
      <c r="Q6" cm="1">
        <f t="array" ref="Q6">IF(H$2="benefice",H6/SUM(H$6:H$12),MIN(IF(H$6:H$12&gt;0,H$6:H$12))/H6)</f>
        <v>0.10097087378640776</v>
      </c>
      <c r="R6" cm="1">
        <f t="array" ref="R6">IF(I$2="benefice",I6/SUM(I$6:I$12),MIN(IF(I$6:I$12&gt;0,I$6:I$12))/I6)</f>
        <v>0.14899999999999999</v>
      </c>
      <c r="S6" cm="1">
        <f t="array" ref="S6">IF(J$2="benefice",J6/SUM(J$6:J$12),MIN(IF(J$6:J$12&gt;0,J$6:J$12))/J6)</f>
        <v>0.65789473684210531</v>
      </c>
      <c r="T6">
        <f>SUMPRODUCT(K6:S6,DATA!$B$7:$J$7)</f>
        <v>0.34209542741858018</v>
      </c>
      <c r="U6">
        <f>T6/$T$14</f>
        <v>0.74804493077888345</v>
      </c>
      <c r="V6">
        <f>RANK(U6,$U$6:$U$12,0)</f>
        <v>4</v>
      </c>
      <c r="W6" t="str" cm="1">
        <f t="array" ref="W6:Y12">_xlfn._xlws.SORT(_xlfn._xlws.FILTER(_xlfn.CHOOSECOLS(A6:V12,1,21,22),A6:A12&lt;&gt;""),2,-1)</f>
        <v>Carbon/Epoxy</v>
      </c>
      <c r="X6">
        <v>1</v>
      </c>
      <c r="Y6">
        <v>1</v>
      </c>
    </row>
    <row r="7" spans="1:25">
      <c r="A7" t="str">
        <f>IF(DATA!A9="","",DATA!A9)</f>
        <v>Carbon/Epoxy</v>
      </c>
      <c r="B7">
        <v>4.9800000000000004</v>
      </c>
      <c r="C7">
        <v>1.42</v>
      </c>
      <c r="D7">
        <v>120</v>
      </c>
      <c r="E7">
        <v>2135</v>
      </c>
      <c r="F7">
        <v>1.1499999999999999</v>
      </c>
      <c r="G7">
        <v>134</v>
      </c>
      <c r="H7">
        <v>1815</v>
      </c>
      <c r="I7">
        <v>2.9799999999999998E-6</v>
      </c>
      <c r="J7">
        <v>20</v>
      </c>
      <c r="K7" cm="1">
        <f t="array" ref="K7">IF(B$2="benefice",B7/SUM(B$6:B$12),MIN(IF(B$6:B$12&gt;0,B$6:B$12))/B7)</f>
        <v>0.11044176706827309</v>
      </c>
      <c r="L7" cm="1">
        <f t="array" ref="L7">IF(C$2="benefice",C7/SUM(C$6:C$12),MIN(IF(C$6:C$12&gt;0,C$6:C$12))/C7)</f>
        <v>0.91549295774647899</v>
      </c>
      <c r="M7" cm="1">
        <f t="array" ref="M7">IF(D$2="benefice",D7/SUM(D$6:D$12),MIN(IF(D$6:D$12&gt;0,D$6:D$12))/D7)</f>
        <v>0.23762376237623761</v>
      </c>
      <c r="N7" cm="1">
        <f t="array" ref="N7">IF(E$2="benefice",E7/SUM(E$6:E$12),MIN(IF(E$6:E$12&gt;0,E$6:E$12))/E7)</f>
        <v>0.37502195678903916</v>
      </c>
      <c r="O7" cm="1">
        <f t="array" ref="O7">IF(F$2="benefice",F7/SUM(F$6:F$12),MIN(IF(F$6:F$12&gt;0,F$6:F$12))/F7)</f>
        <v>2.2051773729626079E-2</v>
      </c>
      <c r="P7" cm="1">
        <f t="array" ref="P7">IF(G$2="benefice",G7/SUM(G$6:G$12),MIN(IF(G$6:G$12&gt;0,G$6:G$12))/G7)</f>
        <v>0.25235404896421848</v>
      </c>
      <c r="Q7" cm="1">
        <f t="array" ref="Q7">IF(H$2="benefice",H7/SUM(H$6:H$12),MIN(IF(H$6:H$12&gt;0,H$6:H$12))/H7)</f>
        <v>0.35242718446601939</v>
      </c>
      <c r="R7" cm="1">
        <f t="array" ref="R7">IF(I$2="benefice",I7/SUM(I$6:I$12),MIN(IF(I$6:I$12&gt;0,I$6:I$12))/I7)</f>
        <v>1</v>
      </c>
      <c r="S7" cm="1">
        <f t="array" ref="S7">IF(J$2="benefice",J7/SUM(J$6:J$12),MIN(IF(J$6:J$12&gt;0,J$6:J$12))/J7)</f>
        <v>0.125</v>
      </c>
      <c r="T7">
        <f>SUMPRODUCT(K7:S7,DATA!$B$7:$J$7)</f>
        <v>0.45731935789255557</v>
      </c>
      <c r="U7">
        <f t="shared" ref="U7:U12" si="0">T7/$T$14</f>
        <v>1</v>
      </c>
      <c r="V7">
        <f t="shared" ref="V7:V12" si="1">RANK(U7,$U$6:$U$12,0)</f>
        <v>1</v>
      </c>
      <c r="W7" t="str">
        <v>Chromium steel template</v>
      </c>
      <c r="X7">
        <v>0.91211227987155064</v>
      </c>
      <c r="Y7">
        <v>2</v>
      </c>
    </row>
    <row r="8" spans="1:25">
      <c r="A8" t="str">
        <f>IF(DATA!A10="","",DATA!A10)</f>
        <v>Glass/Epoxy</v>
      </c>
      <c r="B8">
        <v>0.69</v>
      </c>
      <c r="C8">
        <v>1.8</v>
      </c>
      <c r="D8">
        <v>40</v>
      </c>
      <c r="E8">
        <v>1135</v>
      </c>
      <c r="F8">
        <v>1.3</v>
      </c>
      <c r="G8">
        <v>43</v>
      </c>
      <c r="H8">
        <v>965</v>
      </c>
      <c r="I8">
        <v>3.4999999999999997E-5</v>
      </c>
      <c r="J8">
        <v>4</v>
      </c>
      <c r="K8" cm="1">
        <f t="array" ref="K8">IF(B$2="benefice",B8/SUM(B$6:B$12),MIN(IF(B$6:B$12&gt;0,B$6:B$12))/B8)</f>
        <v>0.79710144927536242</v>
      </c>
      <c r="L8" cm="1">
        <f t="array" ref="L8">IF(C$2="benefice",C8/SUM(C$6:C$12),MIN(IF(C$6:C$12&gt;0,C$6:C$12))/C8)</f>
        <v>0.72222222222222221</v>
      </c>
      <c r="M8" cm="1">
        <f t="array" ref="M8">IF(D$2="benefice",D8/SUM(D$6:D$12),MIN(IF(D$6:D$12&gt;0,D$6:D$12))/D8)</f>
        <v>7.9207920792079209E-2</v>
      </c>
      <c r="N8" cm="1">
        <f t="array" ref="N8">IF(E$2="benefice",E8/SUM(E$6:E$12),MIN(IF(E$6:E$12&gt;0,E$6:E$12))/E8)</f>
        <v>0.19936764447567187</v>
      </c>
      <c r="O8" cm="1">
        <f t="array" ref="O8">IF(F$2="benefice",F8/SUM(F$6:F$12),MIN(IF(F$6:F$12&gt;0,F$6:F$12))/F8)</f>
        <v>2.4928092042186004E-2</v>
      </c>
      <c r="P8" cm="1">
        <f t="array" ref="P8">IF(G$2="benefice",G8/SUM(G$6:G$12),MIN(IF(G$6:G$12&gt;0,G$6:G$12))/G8)</f>
        <v>8.0979284369114876E-2</v>
      </c>
      <c r="Q8" cm="1">
        <f t="array" ref="Q8">IF(H$2="benefice",H8/SUM(H$6:H$12),MIN(IF(H$6:H$12&gt;0,H$6:H$12))/H8)</f>
        <v>0.18737864077669902</v>
      </c>
      <c r="R8" cm="1">
        <f t="array" ref="R8">IF(I$2="benefice",I8/SUM(I$6:I$12),MIN(IF(I$6:I$12&gt;0,I$6:I$12))/I8)</f>
        <v>8.5142857142857145E-2</v>
      </c>
      <c r="S8" cm="1">
        <f t="array" ref="S8">IF(J$2="benefice",J8/SUM(J$6:J$12),MIN(IF(J$6:J$12&gt;0,J$6:J$12))/J8)</f>
        <v>0.625</v>
      </c>
      <c r="T8">
        <f>SUMPRODUCT(K8:S8,DATA!$B$7:$J$7)</f>
        <v>0.30102207141570803</v>
      </c>
      <c r="U8">
        <f t="shared" si="0"/>
        <v>0.6582316410197343</v>
      </c>
      <c r="V8">
        <f t="shared" si="1"/>
        <v>6</v>
      </c>
      <c r="W8" t="str">
        <v>Jute/epoxy</v>
      </c>
      <c r="X8">
        <v>0.75130328310549677</v>
      </c>
      <c r="Y8">
        <v>3</v>
      </c>
    </row>
    <row r="9" spans="1:25">
      <c r="A9" t="str">
        <f>IF(DATA!A11="","",DATA!A11)</f>
        <v>Aluminium template</v>
      </c>
      <c r="B9">
        <v>1.58</v>
      </c>
      <c r="C9">
        <v>2.7</v>
      </c>
      <c r="D9">
        <v>70</v>
      </c>
      <c r="E9">
        <v>330</v>
      </c>
      <c r="F9">
        <v>3.4</v>
      </c>
      <c r="G9">
        <v>70</v>
      </c>
      <c r="H9">
        <v>325</v>
      </c>
      <c r="I9">
        <v>2.3E-5</v>
      </c>
      <c r="J9">
        <v>10</v>
      </c>
      <c r="K9" cm="1">
        <f t="array" ref="K9">IF(B$2="benefice",B9/SUM(B$6:B$12),MIN(IF(B$6:B$12&gt;0,B$6:B$12))/B9)</f>
        <v>0.34810126582278483</v>
      </c>
      <c r="L9" cm="1">
        <f t="array" ref="L9">IF(C$2="benefice",C9/SUM(C$6:C$12),MIN(IF(C$6:C$12&gt;0,C$6:C$12))/C9)</f>
        <v>0.48148148148148145</v>
      </c>
      <c r="M9" cm="1">
        <f t="array" ref="M9">IF(D$2="benefice",D9/SUM(D$6:D$12),MIN(IF(D$6:D$12&gt;0,D$6:D$12))/D9)</f>
        <v>0.13861386138613863</v>
      </c>
      <c r="N9" cm="1">
        <f t="array" ref="N9">IF(E$2="benefice",E9/SUM(E$6:E$12),MIN(IF(E$6:E$12&gt;0,E$6:E$12))/E9)</f>
        <v>5.7965923063411209E-2</v>
      </c>
      <c r="O9" cm="1">
        <f t="array" ref="O9">IF(F$2="benefice",F9/SUM(F$6:F$12),MIN(IF(F$6:F$12&gt;0,F$6:F$12))/F9)</f>
        <v>6.5196548418024927E-2</v>
      </c>
      <c r="P9" cm="1">
        <f t="array" ref="P9">IF(G$2="benefice",G9/SUM(G$6:G$12),MIN(IF(G$6:G$12&gt;0,G$6:G$12))/G9)</f>
        <v>0.13182674199623351</v>
      </c>
      <c r="Q9" cm="1">
        <f t="array" ref="Q9">IF(H$2="benefice",H9/SUM(H$6:H$12),MIN(IF(H$6:H$12&gt;0,H$6:H$12))/H9)</f>
        <v>6.3106796116504854E-2</v>
      </c>
      <c r="R9" cm="1">
        <f t="array" ref="R9">IF(I$2="benefice",I9/SUM(I$6:I$12),MIN(IF(I$6:I$12&gt;0,I$6:I$12))/I9)</f>
        <v>0.12956521739130433</v>
      </c>
      <c r="S9" cm="1">
        <f t="array" ref="S9">IF(J$2="benefice",J9/SUM(J$6:J$12),MIN(IF(J$6:J$12&gt;0,J$6:J$12))/J9)</f>
        <v>0.25</v>
      </c>
      <c r="T9">
        <f>SUMPRODUCT(K9:S9,DATA!$B$7:$J$7)</f>
        <v>0.18461108758697473</v>
      </c>
      <c r="U9">
        <f t="shared" si="0"/>
        <v>0.40368089476402175</v>
      </c>
      <c r="V9">
        <f t="shared" si="1"/>
        <v>7</v>
      </c>
      <c r="W9" t="str">
        <v>Flax/Epoxy</v>
      </c>
      <c r="X9">
        <v>0.74804493077888345</v>
      </c>
      <c r="Y9">
        <v>4</v>
      </c>
    </row>
    <row r="10" spans="1:25">
      <c r="A10" t="str">
        <f>IF(DATA!A12="","",DATA!A12)</f>
        <v>Chromium steel template</v>
      </c>
      <c r="B10">
        <v>0.77</v>
      </c>
      <c r="C10">
        <v>7.9</v>
      </c>
      <c r="D10">
        <v>200</v>
      </c>
      <c r="E10">
        <v>750</v>
      </c>
      <c r="F10">
        <v>40</v>
      </c>
      <c r="G10">
        <v>200</v>
      </c>
      <c r="H10">
        <v>900</v>
      </c>
      <c r="I10">
        <v>1.7E-5</v>
      </c>
      <c r="J10">
        <v>2.5</v>
      </c>
      <c r="K10" cm="1">
        <f t="array" ref="K10">IF(B$2="benefice",B10/SUM(B$6:B$12),MIN(IF(B$6:B$12&gt;0,B$6:B$12))/B10)</f>
        <v>0.7142857142857143</v>
      </c>
      <c r="L10" cm="1">
        <f t="array" ref="L10">IF(C$2="benefice",C10/SUM(C$6:C$12),MIN(IF(C$6:C$12&gt;0,C$6:C$12))/C10)</f>
        <v>0.16455696202531644</v>
      </c>
      <c r="M10" cm="1">
        <f t="array" ref="M10">IF(D$2="benefice",D10/SUM(D$6:D$12),MIN(IF(D$6:D$12&gt;0,D$6:D$12))/D10)</f>
        <v>0.39603960396039606</v>
      </c>
      <c r="N10" cm="1">
        <f t="array" ref="N10">IF(E$2="benefice",E10/SUM(E$6:E$12),MIN(IF(E$6:E$12&gt;0,E$6:E$12))/E10)</f>
        <v>0.13174073423502547</v>
      </c>
      <c r="O10" cm="1">
        <f t="array" ref="O10">IF(F$2="benefice",F10/SUM(F$6:F$12),MIN(IF(F$6:F$12&gt;0,F$6:F$12))/F10)</f>
        <v>0.76701821668264625</v>
      </c>
      <c r="P10" cm="1">
        <f t="array" ref="P10">IF(G$2="benefice",G10/SUM(G$6:G$12),MIN(IF(G$6:G$12&gt;0,G$6:G$12))/G10)</f>
        <v>0.37664783427495291</v>
      </c>
      <c r="Q10" cm="1">
        <f t="array" ref="Q10">IF(H$2="benefice",H10/SUM(H$6:H$12),MIN(IF(H$6:H$12&gt;0,H$6:H$12))/H10)</f>
        <v>0.17475728155339806</v>
      </c>
      <c r="R10" cm="1">
        <f t="array" ref="R10">IF(I$2="benefice",I10/SUM(I$6:I$12),MIN(IF(I$6:I$12&gt;0,I$6:I$12))/I10)</f>
        <v>0.17529411764705882</v>
      </c>
      <c r="S10" cm="1">
        <f t="array" ref="S10">IF(J$2="benefice",J10/SUM(J$6:J$12),MIN(IF(J$6:J$12&gt;0,J$6:J$12))/J10)</f>
        <v>1</v>
      </c>
      <c r="T10">
        <f>SUMPRODUCT(K10:S10,DATA!$B$7:$J$7)</f>
        <v>0.4171266021567725</v>
      </c>
      <c r="U10">
        <f t="shared" si="0"/>
        <v>0.91211227987155064</v>
      </c>
      <c r="V10">
        <f t="shared" si="1"/>
        <v>2</v>
      </c>
      <c r="W10" t="str">
        <v>Hemp/Epoxy</v>
      </c>
      <c r="X10">
        <v>0.72907592258553322</v>
      </c>
      <c r="Y10">
        <v>5</v>
      </c>
    </row>
    <row r="11" spans="1:25">
      <c r="A11" t="str">
        <f>IF(DATA!A13="","",DATA!A13)</f>
        <v>Hemp/Epoxy</v>
      </c>
      <c r="B11">
        <v>0.55000000000000004</v>
      </c>
      <c r="C11">
        <v>1.31</v>
      </c>
      <c r="D11">
        <v>28</v>
      </c>
      <c r="E11">
        <v>398</v>
      </c>
      <c r="F11">
        <v>2</v>
      </c>
      <c r="G11">
        <v>32</v>
      </c>
      <c r="H11">
        <v>340</v>
      </c>
      <c r="I11">
        <v>2.4999999999999998E-5</v>
      </c>
      <c r="J11">
        <v>4</v>
      </c>
      <c r="K11" cm="1">
        <f t="array" ref="K11">IF(B$2="benefice",B11/SUM(B$6:B$12),MIN(IF(B$6:B$12&gt;0,B$6:B$12))/B11)</f>
        <v>1</v>
      </c>
      <c r="L11" cm="1">
        <f t="array" ref="L11">IF(C$2="benefice",C11/SUM(C$6:C$12),MIN(IF(C$6:C$12&gt;0,C$6:C$12))/C11)</f>
        <v>0.99236641221374045</v>
      </c>
      <c r="M11" cm="1">
        <f t="array" ref="M11">IF(D$2="benefice",D11/SUM(D$6:D$12),MIN(IF(D$6:D$12&gt;0,D$6:D$12))/D11)</f>
        <v>5.5445544554455446E-2</v>
      </c>
      <c r="N11" cm="1">
        <f t="array" ref="N11">IF(E$2="benefice",E11/SUM(E$6:E$12),MIN(IF(E$6:E$12&gt;0,E$6:E$12))/E11)</f>
        <v>6.9910416300720188E-2</v>
      </c>
      <c r="O11" cm="1">
        <f t="array" ref="O11">IF(F$2="benefice",F11/SUM(F$6:F$12),MIN(IF(F$6:F$12&gt;0,F$6:F$12))/F11)</f>
        <v>3.8350910834132314E-2</v>
      </c>
      <c r="P11" cm="1">
        <f t="array" ref="P11">IF(G$2="benefice",G11/SUM(G$6:G$12),MIN(IF(G$6:G$12&gt;0,G$6:G$12))/G11)</f>
        <v>6.0263653483992465E-2</v>
      </c>
      <c r="Q11" cm="1">
        <f t="array" ref="Q11">IF(H$2="benefice",H11/SUM(H$6:H$12),MIN(IF(H$6:H$12&gt;0,H$6:H$12))/H11)</f>
        <v>6.6019417475728162E-2</v>
      </c>
      <c r="R11" cm="1">
        <f t="array" ref="R11">IF(I$2="benefice",I11/SUM(I$6:I$12),MIN(IF(I$6:I$12&gt;0,I$6:I$12))/I11)</f>
        <v>0.1192</v>
      </c>
      <c r="S11" cm="1">
        <f t="array" ref="S11">IF(J$2="benefice",J11/SUM(J$6:J$12),MIN(IF(J$6:J$12&gt;0,J$6:J$12))/J11)</f>
        <v>0.625</v>
      </c>
      <c r="T11">
        <f>SUMPRODUCT(K11:S11,DATA!$B$7:$J$7)</f>
        <v>0.33342053277173861</v>
      </c>
      <c r="U11">
        <f t="shared" si="0"/>
        <v>0.72907592258553322</v>
      </c>
      <c r="V11">
        <f t="shared" si="1"/>
        <v>5</v>
      </c>
      <c r="W11" t="str">
        <v>Glass/Epoxy</v>
      </c>
      <c r="X11">
        <v>0.6582316410197343</v>
      </c>
      <c r="Y11">
        <v>6</v>
      </c>
    </row>
    <row r="12" spans="1:25">
      <c r="A12" t="str">
        <f>IF(DATA!A14="","",DATA!A14)</f>
        <v>Jute/epoxy</v>
      </c>
      <c r="B12">
        <v>0.56999999999999995</v>
      </c>
      <c r="C12">
        <v>1.3</v>
      </c>
      <c r="D12">
        <v>12</v>
      </c>
      <c r="E12">
        <v>335</v>
      </c>
      <c r="F12">
        <v>2.5</v>
      </c>
      <c r="G12">
        <v>13</v>
      </c>
      <c r="H12">
        <v>285</v>
      </c>
      <c r="I12">
        <v>2.9999999999999997E-5</v>
      </c>
      <c r="J12">
        <v>3</v>
      </c>
      <c r="K12" cm="1">
        <f t="array" ref="K12">IF(B$2="benefice",B12/SUM(B$6:B$12),MIN(IF(B$6:B$12&gt;0,B$6:B$12))/B12)</f>
        <v>0.9649122807017545</v>
      </c>
      <c r="L12" cm="1">
        <f t="array" ref="L12">IF(C$2="benefice",C12/SUM(C$6:C$12),MIN(IF(C$6:C$12&gt;0,C$6:C$12))/C12)</f>
        <v>1</v>
      </c>
      <c r="M12" cm="1">
        <f t="array" ref="M12">IF(D$2="benefice",D12/SUM(D$6:D$12),MIN(IF(D$6:D$12&gt;0,D$6:D$12))/D12)</f>
        <v>2.3762376237623763E-2</v>
      </c>
      <c r="N12" cm="1">
        <f t="array" ref="N12">IF(E$2="benefice",E12/SUM(E$6:E$12),MIN(IF(E$6:E$12&gt;0,E$6:E$12))/E12)</f>
        <v>5.8844194624978044E-2</v>
      </c>
      <c r="O12" cm="1">
        <f t="array" ref="O12">IF(F$2="benefice",F12/SUM(F$6:F$12),MIN(IF(F$6:F$12&gt;0,F$6:F$12))/F12)</f>
        <v>4.793863854266539E-2</v>
      </c>
      <c r="P12" cm="1">
        <f t="array" ref="P12">IF(G$2="benefice",G12/SUM(G$6:G$12),MIN(IF(G$6:G$12&gt;0,G$6:G$12))/G12)</f>
        <v>2.4482109227871938E-2</v>
      </c>
      <c r="Q12" cm="1">
        <f t="array" ref="Q12">IF(H$2="benefice",H12/SUM(H$6:H$12),MIN(IF(H$6:H$12&gt;0,H$6:H$12))/H12)</f>
        <v>5.533980582524272E-2</v>
      </c>
      <c r="R12" cm="1">
        <f t="array" ref="R12">IF(I$2="benefice",I12/SUM(I$6:I$12),MIN(IF(I$6:I$12&gt;0,I$6:I$12))/I12)</f>
        <v>9.9333333333333343E-2</v>
      </c>
      <c r="S12" cm="1">
        <f t="array" ref="S12">IF(J$2="benefice",J12/SUM(J$6:J$12),MIN(IF(J$6:J$12&gt;0,J$6:J$12))/J12)</f>
        <v>0.83333333333333337</v>
      </c>
      <c r="T12">
        <f>SUMPRODUCT(K12:S12,DATA!$B$7:$J$7)</f>
        <v>0.34358553501237465</v>
      </c>
      <c r="U12">
        <f t="shared" si="0"/>
        <v>0.75130328310549677</v>
      </c>
      <c r="V12">
        <f t="shared" si="1"/>
        <v>3</v>
      </c>
      <c r="W12" t="str">
        <v>Aluminium template</v>
      </c>
      <c r="X12">
        <v>0.40368089476402175</v>
      </c>
      <c r="Y12">
        <v>7</v>
      </c>
    </row>
    <row r="13" spans="1:25">
      <c r="A13" t="str">
        <f>IF(DATA!A15="","",DATA!A15)</f>
        <v/>
      </c>
      <c r="T13" s="1" t="s">
        <v>124</v>
      </c>
    </row>
    <row r="14" spans="1:25">
      <c r="A14" t="str">
        <f>IF(DATA!A16="","",DATA!A16)</f>
        <v/>
      </c>
      <c r="T14">
        <f>MAX(T6:T12)</f>
        <v>0.45731935789255557</v>
      </c>
    </row>
    <row r="15" spans="1:25">
      <c r="A15" t="str">
        <f>IF(DATA!A17="","",DATA!A17)</f>
        <v/>
      </c>
    </row>
    <row r="16" spans="1:25">
      <c r="A16" t="str">
        <f>IF(DATA!A18="","",DATA!A18)</f>
        <v/>
      </c>
    </row>
    <row r="17" spans="1:1">
      <c r="A17" t="str">
        <f>IF(DATA!A19="","",DATA!A19)</f>
        <v/>
      </c>
    </row>
    <row r="18" spans="1:1">
      <c r="A18" t="str">
        <f>IF(DATA!A20="","",DATA!A20)</f>
        <v/>
      </c>
    </row>
    <row r="19" spans="1:1">
      <c r="A19" t="str">
        <f>IF(DATA!A21="","",DATA!A21)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667F-6DC9-437D-B408-0649CC992461}">
  <dimension ref="A1:T20"/>
  <sheetViews>
    <sheetView workbookViewId="0">
      <selection activeCell="M23" sqref="M23:M24"/>
    </sheetView>
  </sheetViews>
  <sheetFormatPr defaultRowHeight="15"/>
  <cols>
    <col min="1" max="1" width="26.28515625" bestFit="1" customWidth="1"/>
    <col min="2" max="2" width="13.140625" bestFit="1" customWidth="1"/>
    <col min="3" max="3" width="12.5703125" bestFit="1" customWidth="1"/>
    <col min="4" max="4" width="15.28515625" bestFit="1" customWidth="1"/>
    <col min="5" max="5" width="15.85546875" bestFit="1" customWidth="1"/>
    <col min="6" max="6" width="15.140625" bestFit="1" customWidth="1"/>
    <col min="7" max="7" width="14.28515625" bestFit="1" customWidth="1"/>
    <col min="8" max="8" width="12.5703125" bestFit="1" customWidth="1"/>
    <col min="9" max="9" width="15.140625" bestFit="1" customWidth="1"/>
    <col min="10" max="10" width="15.5703125" customWidth="1"/>
    <col min="11" max="11" width="23.5703125" bestFit="1" customWidth="1"/>
    <col min="12" max="13" width="13.140625" bestFit="1" customWidth="1"/>
    <col min="14" max="14" width="12.5703125" bestFit="1" customWidth="1"/>
    <col min="15" max="16" width="15.85546875" bestFit="1" customWidth="1"/>
    <col min="17" max="17" width="15.140625" bestFit="1" customWidth="1"/>
    <col min="18" max="19" width="14.28515625" bestFit="1" customWidth="1"/>
    <col min="20" max="21" width="8.7109375" bestFit="1" customWidth="1"/>
  </cols>
  <sheetData>
    <row r="1" spans="1:20">
      <c r="A1" s="24" t="s">
        <v>125</v>
      </c>
      <c r="B1" s="33" t="s">
        <v>126</v>
      </c>
      <c r="C1" s="33"/>
      <c r="D1" s="33"/>
      <c r="E1" s="33"/>
      <c r="F1" s="33"/>
      <c r="G1" s="33"/>
      <c r="H1" s="33"/>
      <c r="I1" s="33"/>
      <c r="J1" s="33"/>
      <c r="K1" s="34"/>
      <c r="L1" s="34"/>
      <c r="M1" s="34"/>
      <c r="N1" s="34"/>
      <c r="O1" s="34"/>
      <c r="P1" s="34"/>
      <c r="Q1" s="34"/>
      <c r="R1" s="23"/>
      <c r="S1" s="23"/>
      <c r="T1" s="23"/>
    </row>
    <row r="2" spans="1:20">
      <c r="A2" s="24" t="s">
        <v>127</v>
      </c>
      <c r="B2" s="24" t="s">
        <v>128</v>
      </c>
      <c r="C2" s="24" t="s">
        <v>129</v>
      </c>
      <c r="D2" s="24" t="s">
        <v>130</v>
      </c>
      <c r="E2" s="24" t="s">
        <v>131</v>
      </c>
      <c r="F2" s="24" t="s">
        <v>132</v>
      </c>
      <c r="G2" s="24" t="s">
        <v>133</v>
      </c>
      <c r="K2" s="36"/>
      <c r="L2" s="37"/>
      <c r="M2" s="37"/>
      <c r="N2" s="37"/>
      <c r="O2" s="37"/>
      <c r="P2" s="37"/>
      <c r="Q2" s="37"/>
      <c r="R2" s="38"/>
    </row>
    <row r="3" spans="1:20">
      <c r="A3" s="24" t="str">
        <f>IF(DATA!A8="","",DATA!A8)</f>
        <v>Flax/Epoxy</v>
      </c>
      <c r="B3" s="21">
        <v>5</v>
      </c>
      <c r="C3" s="21">
        <v>1</v>
      </c>
      <c r="D3" s="21">
        <v>4</v>
      </c>
      <c r="E3" s="21">
        <v>6</v>
      </c>
      <c r="F3" s="21">
        <v>1</v>
      </c>
      <c r="G3" s="21">
        <v>4</v>
      </c>
      <c r="K3" s="37"/>
      <c r="L3" s="39"/>
      <c r="M3" s="39"/>
      <c r="N3" s="39"/>
      <c r="O3" s="39"/>
      <c r="P3" s="39"/>
      <c r="Q3" s="39"/>
      <c r="R3" s="38"/>
    </row>
    <row r="4" spans="1:20">
      <c r="A4" s="24" t="str">
        <f>IF(DATA!A9="","",DATA!A9)</f>
        <v>Carbon/Epoxy</v>
      </c>
      <c r="B4" s="21">
        <v>4</v>
      </c>
      <c r="C4" s="21">
        <v>5</v>
      </c>
      <c r="D4" s="21">
        <v>1</v>
      </c>
      <c r="E4" s="21">
        <v>4</v>
      </c>
      <c r="F4" s="21">
        <v>6</v>
      </c>
      <c r="G4" s="21">
        <v>2</v>
      </c>
      <c r="K4" s="37"/>
      <c r="L4" s="39"/>
      <c r="M4" s="39"/>
      <c r="N4" s="39"/>
      <c r="O4" s="39"/>
      <c r="P4" s="39"/>
      <c r="Q4" s="39"/>
      <c r="R4" s="38"/>
    </row>
    <row r="5" spans="1:20">
      <c r="A5" s="24" t="str">
        <f>IF(DATA!A10="","",DATA!A10)</f>
        <v>Glass/Epoxy</v>
      </c>
      <c r="B5" s="21">
        <v>6</v>
      </c>
      <c r="C5" s="21">
        <v>7</v>
      </c>
      <c r="D5" s="21">
        <v>6</v>
      </c>
      <c r="E5" s="21">
        <v>5</v>
      </c>
      <c r="F5" s="21">
        <v>5</v>
      </c>
      <c r="G5" s="21">
        <v>6</v>
      </c>
      <c r="K5" s="37"/>
      <c r="L5" s="39"/>
      <c r="M5" s="39"/>
      <c r="N5" s="39"/>
      <c r="O5" s="39"/>
      <c r="P5" s="39"/>
      <c r="Q5" s="39"/>
      <c r="R5" s="38"/>
    </row>
    <row r="6" spans="1:20">
      <c r="A6" s="24" t="str">
        <f>IF(DATA!A11="","",DATA!A11)</f>
        <v>Aluminium template</v>
      </c>
      <c r="B6" s="21">
        <v>7</v>
      </c>
      <c r="C6" s="21">
        <v>3</v>
      </c>
      <c r="D6" s="21">
        <v>7</v>
      </c>
      <c r="E6" s="21">
        <v>7</v>
      </c>
      <c r="F6" s="21">
        <v>4</v>
      </c>
      <c r="G6" s="21">
        <v>7</v>
      </c>
      <c r="K6" s="37"/>
      <c r="L6" s="39"/>
      <c r="M6" s="39"/>
      <c r="N6" s="39"/>
      <c r="O6" s="39"/>
      <c r="P6" s="39"/>
      <c r="Q6" s="39"/>
      <c r="R6" s="38"/>
    </row>
    <row r="7" spans="1:20">
      <c r="A7" s="24" t="str">
        <f>IF(DATA!A12="","",DATA!A12)</f>
        <v>Chromium steel template</v>
      </c>
      <c r="B7" s="21">
        <v>3</v>
      </c>
      <c r="C7" s="21">
        <v>6</v>
      </c>
      <c r="D7" s="21">
        <v>2</v>
      </c>
      <c r="E7" s="21">
        <v>3</v>
      </c>
      <c r="F7" s="21">
        <v>7</v>
      </c>
      <c r="G7" s="21">
        <v>1</v>
      </c>
      <c r="K7" s="37"/>
      <c r="L7" s="39"/>
      <c r="M7" s="39"/>
      <c r="N7" s="39"/>
      <c r="O7" s="39"/>
      <c r="P7" s="39"/>
      <c r="Q7" s="39"/>
      <c r="R7" s="38"/>
    </row>
    <row r="8" spans="1:20">
      <c r="A8" s="24" t="str">
        <f>IF(DATA!A13="","",DATA!A13)</f>
        <v>Hemp/Epoxy</v>
      </c>
      <c r="B8" s="21">
        <v>1</v>
      </c>
      <c r="C8" s="21">
        <v>2</v>
      </c>
      <c r="D8" s="21">
        <v>5</v>
      </c>
      <c r="E8" s="21">
        <v>1</v>
      </c>
      <c r="F8" s="21">
        <v>2</v>
      </c>
      <c r="G8" s="21">
        <v>5</v>
      </c>
      <c r="K8" s="37"/>
      <c r="L8" s="39"/>
      <c r="M8" s="39"/>
      <c r="N8" s="39"/>
      <c r="O8" s="39"/>
      <c r="P8" s="39"/>
      <c r="Q8" s="39"/>
      <c r="R8" s="38"/>
    </row>
    <row r="9" spans="1:20">
      <c r="A9" s="24" t="str">
        <f>IF(DATA!A14="","",DATA!A14)</f>
        <v>Jute/epoxy</v>
      </c>
      <c r="B9" s="21">
        <v>2</v>
      </c>
      <c r="C9" s="21">
        <v>4</v>
      </c>
      <c r="D9" s="21">
        <v>3</v>
      </c>
      <c r="E9" s="21">
        <v>2</v>
      </c>
      <c r="F9" s="21">
        <v>3</v>
      </c>
      <c r="G9" s="21">
        <v>3</v>
      </c>
      <c r="K9" s="40"/>
      <c r="L9" s="40"/>
      <c r="M9" s="40"/>
      <c r="N9" s="40"/>
      <c r="O9" s="40"/>
      <c r="P9" s="40"/>
      <c r="Q9" s="40"/>
      <c r="R9" s="38"/>
    </row>
    <row r="10" spans="1:20" ht="45.75">
      <c r="A10" s="24" t="str">
        <f>IF(DATA!A15="","",DATA!A15)</f>
        <v/>
      </c>
      <c r="B10" s="24" t="s">
        <v>134</v>
      </c>
      <c r="C10" s="24" t="s">
        <v>135</v>
      </c>
      <c r="D10" s="24" t="s">
        <v>136</v>
      </c>
      <c r="E10" s="26" t="s">
        <v>137</v>
      </c>
      <c r="F10" s="24"/>
      <c r="K10" s="41"/>
      <c r="L10" s="41"/>
      <c r="M10" s="41"/>
      <c r="N10" s="41"/>
      <c r="O10" s="41"/>
      <c r="P10" s="41"/>
      <c r="Q10" s="42"/>
      <c r="R10" s="38"/>
    </row>
    <row r="11" spans="1:20">
      <c r="A11" s="24" t="s">
        <v>21</v>
      </c>
      <c r="B11" s="25">
        <f>AVERAGE(B3:G3)</f>
        <v>3.5</v>
      </c>
      <c r="C11" s="25">
        <f>_xlfn.STDEV.S(B3:G3)</f>
        <v>2.0736441353327719</v>
      </c>
      <c r="D11" s="21">
        <f>RANK(G3,$G$3:$G$9,1)</f>
        <v>4</v>
      </c>
      <c r="E11" s="25">
        <f>1-(G3/MAX($G$3:$G$9))</f>
        <v>0.4285714285714286</v>
      </c>
      <c r="J11" s="38"/>
      <c r="K11" s="37"/>
      <c r="L11" s="37"/>
      <c r="M11" s="37"/>
      <c r="N11" s="37"/>
      <c r="O11" s="37"/>
      <c r="P11" s="37"/>
      <c r="Q11" s="35"/>
    </row>
    <row r="12" spans="1:20">
      <c r="A12" s="24" t="s">
        <v>22</v>
      </c>
      <c r="B12" s="25">
        <f t="shared" ref="B12:B17" si="0">AVERAGE(B4:G4)</f>
        <v>3.6666666666666665</v>
      </c>
      <c r="C12" s="25">
        <f t="shared" ref="C12:C17" si="1">_xlfn.STDEV.S(B4:G4)</f>
        <v>1.8618986725025253</v>
      </c>
      <c r="D12" s="21">
        <f t="shared" ref="D12:D17" si="2">RANK(G4,$G$3:$G$9,1)</f>
        <v>2</v>
      </c>
      <c r="E12" s="25">
        <f t="shared" ref="E12:E17" si="3">1-(G4/MAX($G$3:$G$9))</f>
        <v>0.7142857142857143</v>
      </c>
      <c r="J12" s="37"/>
      <c r="K12" s="40"/>
      <c r="L12" s="40"/>
      <c r="M12" s="40"/>
      <c r="N12" s="40"/>
      <c r="O12" s="40"/>
      <c r="P12" s="40"/>
      <c r="Q12" s="35"/>
    </row>
    <row r="13" spans="1:20">
      <c r="A13" s="24" t="s">
        <v>23</v>
      </c>
      <c r="B13" s="25">
        <f t="shared" si="0"/>
        <v>5.833333333333333</v>
      </c>
      <c r="C13" s="25">
        <f t="shared" si="1"/>
        <v>0.75277265270908222</v>
      </c>
      <c r="D13" s="21">
        <f t="shared" si="2"/>
        <v>6</v>
      </c>
      <c r="E13" s="25">
        <f t="shared" si="3"/>
        <v>0.1428571428571429</v>
      </c>
      <c r="J13" s="37"/>
      <c r="K13" s="38"/>
      <c r="L13" s="38"/>
      <c r="M13" s="38"/>
      <c r="N13" s="38"/>
      <c r="O13" s="38"/>
      <c r="P13" s="38"/>
    </row>
    <row r="14" spans="1:20">
      <c r="A14" s="24" t="s">
        <v>24</v>
      </c>
      <c r="B14" s="25">
        <f t="shared" si="0"/>
        <v>5.833333333333333</v>
      </c>
      <c r="C14" s="25">
        <f t="shared" si="1"/>
        <v>1.8348478592697184</v>
      </c>
      <c r="D14" s="21">
        <f t="shared" si="2"/>
        <v>7</v>
      </c>
      <c r="E14" s="25">
        <f t="shared" si="3"/>
        <v>0</v>
      </c>
      <c r="J14" s="37"/>
      <c r="K14" s="38"/>
      <c r="L14" s="38"/>
      <c r="M14" s="38"/>
      <c r="N14" s="38"/>
      <c r="O14" s="38"/>
      <c r="P14" s="38"/>
    </row>
    <row r="15" spans="1:20">
      <c r="A15" s="24" t="s">
        <v>25</v>
      </c>
      <c r="B15" s="25">
        <f t="shared" si="0"/>
        <v>3.6666666666666665</v>
      </c>
      <c r="C15" s="25">
        <f t="shared" si="1"/>
        <v>2.338090388900024</v>
      </c>
      <c r="D15" s="21">
        <f t="shared" si="2"/>
        <v>1</v>
      </c>
      <c r="E15" s="25">
        <f t="shared" si="3"/>
        <v>0.85714285714285721</v>
      </c>
      <c r="J15" s="37"/>
      <c r="K15" s="38"/>
      <c r="L15" s="38"/>
      <c r="M15" s="38"/>
      <c r="N15" s="38"/>
      <c r="O15" s="38"/>
      <c r="P15" s="38"/>
    </row>
    <row r="16" spans="1:20">
      <c r="A16" s="24" t="s">
        <v>26</v>
      </c>
      <c r="B16" s="25">
        <f t="shared" si="0"/>
        <v>2.6666666666666665</v>
      </c>
      <c r="C16" s="25">
        <f t="shared" si="1"/>
        <v>1.8618986725025257</v>
      </c>
      <c r="D16" s="21">
        <f t="shared" si="2"/>
        <v>5</v>
      </c>
      <c r="E16" s="25">
        <f t="shared" si="3"/>
        <v>0.2857142857142857</v>
      </c>
      <c r="J16" s="37"/>
      <c r="K16" s="38"/>
      <c r="L16" s="38"/>
      <c r="M16" s="38"/>
      <c r="N16" s="38"/>
      <c r="O16" s="38"/>
      <c r="P16" s="38"/>
    </row>
    <row r="17" spans="1:16">
      <c r="A17" s="24" t="s">
        <v>27</v>
      </c>
      <c r="B17" s="25">
        <f t="shared" si="0"/>
        <v>2.8333333333333335</v>
      </c>
      <c r="C17" s="25">
        <f t="shared" si="1"/>
        <v>0.75277265270908122</v>
      </c>
      <c r="D17" s="21">
        <f t="shared" si="2"/>
        <v>3</v>
      </c>
      <c r="E17" s="25">
        <f t="shared" si="3"/>
        <v>0.5714285714285714</v>
      </c>
      <c r="J17" s="37"/>
      <c r="K17" s="38"/>
      <c r="L17" s="38"/>
      <c r="M17" s="38"/>
      <c r="N17" s="38"/>
      <c r="O17" s="38"/>
      <c r="P17" s="38"/>
    </row>
    <row r="18" spans="1:16">
      <c r="B18" s="22"/>
      <c r="J18" s="38"/>
      <c r="K18" s="38"/>
      <c r="L18" s="38"/>
      <c r="M18" s="38"/>
      <c r="N18" s="38"/>
      <c r="O18" s="38"/>
      <c r="P18" s="38"/>
    </row>
    <row r="19" spans="1:16">
      <c r="J19" s="38"/>
      <c r="K19" s="38"/>
      <c r="L19" s="38"/>
      <c r="M19" s="38"/>
      <c r="N19" s="38"/>
      <c r="O19" s="38"/>
      <c r="P19" s="38"/>
    </row>
    <row r="20" spans="1:16">
      <c r="J20" s="38"/>
      <c r="K20" s="38"/>
      <c r="L20" s="38"/>
      <c r="M20" s="38"/>
      <c r="N20" s="38"/>
      <c r="O20" s="38"/>
      <c r="P20" s="38"/>
    </row>
  </sheetData>
  <mergeCells count="1">
    <mergeCell ref="B1:J1"/>
  </mergeCells>
  <conditionalFormatting sqref="R10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2:J1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5322-C4CF-4B20-A895-06AC1D35BBC0}">
  <dimension ref="A1:G8"/>
  <sheetViews>
    <sheetView workbookViewId="0"/>
  </sheetViews>
  <sheetFormatPr defaultRowHeight="15"/>
  <sheetData>
    <row r="1" spans="1:7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</row>
    <row r="2" spans="1:7">
      <c r="A2" t="s">
        <v>21</v>
      </c>
      <c r="B2">
        <v>5</v>
      </c>
      <c r="C2">
        <v>1</v>
      </c>
      <c r="D2">
        <v>4</v>
      </c>
      <c r="E2">
        <v>6</v>
      </c>
      <c r="F2">
        <v>1</v>
      </c>
      <c r="G2">
        <v>4</v>
      </c>
    </row>
    <row r="3" spans="1:7">
      <c r="A3" t="s">
        <v>22</v>
      </c>
      <c r="B3">
        <v>4</v>
      </c>
      <c r="C3">
        <v>5</v>
      </c>
      <c r="D3">
        <v>1</v>
      </c>
      <c r="E3">
        <v>4</v>
      </c>
      <c r="F3">
        <v>6</v>
      </c>
      <c r="G3">
        <v>2</v>
      </c>
    </row>
    <row r="4" spans="1:7">
      <c r="A4" t="s">
        <v>23</v>
      </c>
      <c r="B4">
        <v>6</v>
      </c>
      <c r="C4">
        <v>7</v>
      </c>
      <c r="D4">
        <v>6</v>
      </c>
      <c r="E4">
        <v>5</v>
      </c>
      <c r="F4">
        <v>5</v>
      </c>
      <c r="G4">
        <v>6</v>
      </c>
    </row>
    <row r="5" spans="1:7">
      <c r="A5" t="s">
        <v>24</v>
      </c>
      <c r="B5">
        <v>7</v>
      </c>
      <c r="C5">
        <v>3</v>
      </c>
      <c r="D5">
        <v>7</v>
      </c>
      <c r="E5">
        <v>7</v>
      </c>
      <c r="F5">
        <v>4</v>
      </c>
      <c r="G5">
        <v>7</v>
      </c>
    </row>
    <row r="6" spans="1:7">
      <c r="A6" t="s">
        <v>25</v>
      </c>
      <c r="B6">
        <v>3</v>
      </c>
      <c r="C6">
        <v>6</v>
      </c>
      <c r="D6">
        <v>2</v>
      </c>
      <c r="E6">
        <v>3</v>
      </c>
      <c r="F6">
        <v>7</v>
      </c>
      <c r="G6">
        <v>1</v>
      </c>
    </row>
    <row r="7" spans="1:7">
      <c r="A7" t="s">
        <v>26</v>
      </c>
      <c r="B7">
        <v>1</v>
      </c>
      <c r="C7">
        <v>2</v>
      </c>
      <c r="D7">
        <v>5</v>
      </c>
      <c r="E7">
        <v>1</v>
      </c>
      <c r="F7">
        <v>2</v>
      </c>
      <c r="G7">
        <v>5</v>
      </c>
    </row>
    <row r="8" spans="1:7">
      <c r="A8" t="s">
        <v>27</v>
      </c>
      <c r="B8">
        <v>2</v>
      </c>
      <c r="C8">
        <v>4</v>
      </c>
      <c r="D8">
        <v>3</v>
      </c>
      <c r="E8">
        <v>2</v>
      </c>
      <c r="F8">
        <v>3</v>
      </c>
      <c r="G8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E5D7-A69A-45B2-9D23-B0A20E1236A5}">
  <dimension ref="A1:G7"/>
  <sheetViews>
    <sheetView workbookViewId="0">
      <selection activeCell="H5" sqref="H5"/>
    </sheetView>
  </sheetViews>
  <sheetFormatPr defaultRowHeight="15"/>
  <sheetData>
    <row r="1" spans="1:7"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</row>
    <row r="2" spans="1:7">
      <c r="A2" t="s">
        <v>128</v>
      </c>
      <c r="B2">
        <v>1</v>
      </c>
      <c r="C2">
        <v>0.14285714285714285</v>
      </c>
      <c r="D2">
        <v>0.5</v>
      </c>
      <c r="E2">
        <v>0.9642857142857143</v>
      </c>
      <c r="F2">
        <v>0.14285714285714285</v>
      </c>
      <c r="G2">
        <v>0.5357142857142857</v>
      </c>
    </row>
    <row r="3" spans="1:7">
      <c r="A3" t="s">
        <v>129</v>
      </c>
      <c r="B3">
        <v>0.14285714285714285</v>
      </c>
      <c r="C3">
        <v>1</v>
      </c>
      <c r="D3">
        <v>-0.21428571428571427</v>
      </c>
      <c r="E3">
        <v>-7.1428571428571425E-2</v>
      </c>
      <c r="F3">
        <v>0.8571428571428571</v>
      </c>
      <c r="G3">
        <v>-0.25</v>
      </c>
    </row>
    <row r="4" spans="1:7">
      <c r="A4" t="s">
        <v>130</v>
      </c>
      <c r="B4">
        <v>0.5</v>
      </c>
      <c r="C4">
        <v>-0.21428571428571427</v>
      </c>
      <c r="D4">
        <v>1</v>
      </c>
      <c r="E4">
        <v>0.42857142857142855</v>
      </c>
      <c r="F4">
        <v>-0.39285714285714285</v>
      </c>
      <c r="G4">
        <v>0.9642857142857143</v>
      </c>
    </row>
    <row r="5" spans="1:7">
      <c r="A5" t="s">
        <v>131</v>
      </c>
      <c r="B5">
        <v>0.9642857142857143</v>
      </c>
      <c r="C5">
        <v>-7.1428571428571425E-2</v>
      </c>
      <c r="D5">
        <v>0.42857142857142855</v>
      </c>
      <c r="E5">
        <v>1</v>
      </c>
      <c r="F5">
        <v>0</v>
      </c>
      <c r="G5">
        <v>0.4642857142857143</v>
      </c>
    </row>
    <row r="6" spans="1:7">
      <c r="A6" t="s">
        <v>132</v>
      </c>
      <c r="B6">
        <v>0.14285714285714285</v>
      </c>
      <c r="C6">
        <v>0.8571428571428571</v>
      </c>
      <c r="D6">
        <v>-0.39285714285714285</v>
      </c>
      <c r="E6">
        <v>0</v>
      </c>
      <c r="F6">
        <v>1</v>
      </c>
      <c r="G6">
        <v>-0.42857142857142855</v>
      </c>
    </row>
    <row r="7" spans="1:7">
      <c r="A7" t="s">
        <v>133</v>
      </c>
      <c r="B7">
        <v>0.5357142857142857</v>
      </c>
      <c r="C7">
        <v>-0.25</v>
      </c>
      <c r="D7">
        <v>0.9642857142857143</v>
      </c>
      <c r="E7">
        <v>0.4642857142857143</v>
      </c>
      <c r="F7">
        <v>-0.42857142857142855</v>
      </c>
      <c r="G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BD5C-C882-456C-BA4B-67E4785AC03C}">
  <dimension ref="A1:G7"/>
  <sheetViews>
    <sheetView workbookViewId="0">
      <selection sqref="A1:G7"/>
    </sheetView>
  </sheetViews>
  <sheetFormatPr defaultRowHeight="15"/>
  <sheetData>
    <row r="1" spans="1:7"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</row>
    <row r="2" spans="1:7">
      <c r="A2" t="s">
        <v>138</v>
      </c>
      <c r="B2">
        <v>2</v>
      </c>
      <c r="C2">
        <v>0.2857142857142857</v>
      </c>
      <c r="D2">
        <v>0.66666666666666663</v>
      </c>
      <c r="E2">
        <v>1.8095238095238095</v>
      </c>
      <c r="F2">
        <v>9.5238095238095233E-2</v>
      </c>
      <c r="G2">
        <v>0.8571428571428571</v>
      </c>
    </row>
    <row r="3" spans="1:7">
      <c r="A3" t="s">
        <v>139</v>
      </c>
      <c r="B3">
        <v>0.2857142857142857</v>
      </c>
      <c r="C3">
        <v>2</v>
      </c>
      <c r="D3">
        <v>-0.2857142857142857</v>
      </c>
      <c r="E3">
        <v>9.5238095238095233E-2</v>
      </c>
      <c r="F3">
        <v>1.4285714285714286</v>
      </c>
      <c r="G3">
        <v>-0.47619047619047616</v>
      </c>
    </row>
    <row r="4" spans="1:7">
      <c r="A4" t="s">
        <v>140</v>
      </c>
      <c r="B4">
        <v>0.66666666666666663</v>
      </c>
      <c r="C4">
        <v>-0.2857142857142857</v>
      </c>
      <c r="D4">
        <v>2</v>
      </c>
      <c r="E4">
        <v>0.47619047619047616</v>
      </c>
      <c r="F4">
        <v>-0.47619047619047616</v>
      </c>
      <c r="G4">
        <v>1.8095238095238095</v>
      </c>
    </row>
    <row r="5" spans="1:7">
      <c r="A5" t="s">
        <v>141</v>
      </c>
      <c r="B5">
        <v>1.8095238095238095</v>
      </c>
      <c r="C5">
        <v>9.5238095238095233E-2</v>
      </c>
      <c r="D5">
        <v>0.47619047619047616</v>
      </c>
      <c r="E5">
        <v>2</v>
      </c>
      <c r="F5">
        <v>-9.5238095238095233E-2</v>
      </c>
      <c r="G5">
        <v>0.66666666666666663</v>
      </c>
    </row>
    <row r="6" spans="1:7">
      <c r="A6" t="s">
        <v>142</v>
      </c>
      <c r="B6">
        <v>9.5238095238095233E-2</v>
      </c>
      <c r="C6">
        <v>1.4285714285714286</v>
      </c>
      <c r="D6">
        <v>-0.47619047619047616</v>
      </c>
      <c r="E6">
        <v>-9.5238095238095233E-2</v>
      </c>
      <c r="F6">
        <v>2</v>
      </c>
      <c r="G6">
        <v>-0.66666666666666663</v>
      </c>
    </row>
    <row r="7" spans="1:7">
      <c r="A7" t="s">
        <v>143</v>
      </c>
      <c r="B7">
        <v>0.8571428571428571</v>
      </c>
      <c r="C7">
        <v>-0.47619047619047616</v>
      </c>
      <c r="D7">
        <v>1.8095238095238095</v>
      </c>
      <c r="E7">
        <v>0.66666666666666663</v>
      </c>
      <c r="F7">
        <v>-0.66666666666666663</v>
      </c>
      <c r="G7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46BD-D984-47BA-B852-7A3851503753}">
  <dimension ref="A1:J10"/>
  <sheetViews>
    <sheetView workbookViewId="0">
      <selection activeCell="B12" sqref="B12"/>
    </sheetView>
  </sheetViews>
  <sheetFormatPr defaultRowHeight="15"/>
  <cols>
    <col min="1" max="1" width="30.85546875" customWidth="1"/>
    <col min="2" max="2" width="26.7109375" customWidth="1"/>
    <col min="3" max="3" width="14.7109375" bestFit="1" customWidth="1"/>
    <col min="4" max="4" width="20.85546875" bestFit="1" customWidth="1"/>
    <col min="5" max="5" width="21.140625" bestFit="1" customWidth="1"/>
    <col min="6" max="6" width="9" customWidth="1"/>
    <col min="8" max="8" width="21.85546875" bestFit="1" customWidth="1"/>
    <col min="9" max="9" width="14" bestFit="1" customWidth="1"/>
    <col min="10" max="10" width="22.5703125" bestFit="1" customWidth="1"/>
  </cols>
  <sheetData>
    <row r="1" spans="1:10">
      <c r="A1" s="2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4" spans="1:10">
      <c r="A4" s="9" t="s">
        <v>21</v>
      </c>
      <c r="B4" s="27">
        <v>0.59</v>
      </c>
      <c r="C4" s="3">
        <v>1.35</v>
      </c>
      <c r="D4" s="3">
        <v>35</v>
      </c>
      <c r="E4" s="3">
        <v>610</v>
      </c>
      <c r="F4" s="3">
        <v>1.8</v>
      </c>
      <c r="G4" s="3">
        <v>39</v>
      </c>
      <c r="H4" s="3">
        <v>520</v>
      </c>
      <c r="I4" s="15">
        <v>1.9999999999999998E-5</v>
      </c>
      <c r="J4" s="3">
        <v>3.8</v>
      </c>
    </row>
    <row r="5" spans="1:10">
      <c r="A5" s="9" t="s">
        <v>22</v>
      </c>
      <c r="B5" s="27">
        <v>4.9800000000000004</v>
      </c>
      <c r="C5" s="3">
        <v>1.42</v>
      </c>
      <c r="D5" s="3">
        <v>120</v>
      </c>
      <c r="E5" s="3">
        <v>2135</v>
      </c>
      <c r="F5" s="3">
        <v>1.1499999999999999</v>
      </c>
      <c r="G5" s="3">
        <v>134</v>
      </c>
      <c r="H5" s="3">
        <v>1815</v>
      </c>
      <c r="I5" s="15">
        <v>2.9799999999999998E-6</v>
      </c>
      <c r="J5" s="3">
        <v>20</v>
      </c>
    </row>
    <row r="6" spans="1:10">
      <c r="A6" s="9" t="s">
        <v>23</v>
      </c>
      <c r="B6" s="27">
        <v>0.69</v>
      </c>
      <c r="C6" s="3">
        <v>1.8</v>
      </c>
      <c r="D6" s="3">
        <v>40</v>
      </c>
      <c r="E6" s="3">
        <v>1135</v>
      </c>
      <c r="F6" s="3">
        <v>1.3</v>
      </c>
      <c r="G6" s="3">
        <v>43</v>
      </c>
      <c r="H6" s="3">
        <v>965</v>
      </c>
      <c r="I6" s="16">
        <v>3.4999999999999997E-5</v>
      </c>
      <c r="J6" s="3">
        <v>4</v>
      </c>
    </row>
    <row r="7" spans="1:10">
      <c r="A7" s="9" t="s">
        <v>24</v>
      </c>
      <c r="B7" s="27">
        <v>1.58</v>
      </c>
      <c r="C7" s="3">
        <v>2.7</v>
      </c>
      <c r="D7" s="3">
        <v>70</v>
      </c>
      <c r="E7" s="3">
        <v>330</v>
      </c>
      <c r="F7" s="3">
        <v>3.4</v>
      </c>
      <c r="G7" s="3">
        <v>70</v>
      </c>
      <c r="H7" s="3">
        <v>325</v>
      </c>
      <c r="I7" s="15">
        <v>2.3E-5</v>
      </c>
      <c r="J7" s="3">
        <v>10</v>
      </c>
    </row>
    <row r="8" spans="1:10">
      <c r="A8" t="s">
        <v>25</v>
      </c>
      <c r="B8" s="27">
        <v>0.77</v>
      </c>
      <c r="C8" s="4">
        <v>7.9</v>
      </c>
      <c r="D8" s="4">
        <v>200</v>
      </c>
      <c r="E8" s="4">
        <v>750</v>
      </c>
      <c r="F8" s="4">
        <v>40</v>
      </c>
      <c r="G8" s="4">
        <v>200</v>
      </c>
      <c r="H8" s="4">
        <v>900</v>
      </c>
      <c r="I8" s="15">
        <v>1.7E-5</v>
      </c>
      <c r="J8" s="4">
        <v>2.5</v>
      </c>
    </row>
    <row r="9" spans="1:10">
      <c r="A9" t="s">
        <v>26</v>
      </c>
      <c r="B9" s="27">
        <v>0.55000000000000004</v>
      </c>
      <c r="C9" s="4">
        <v>1.31</v>
      </c>
      <c r="D9" s="4">
        <v>28</v>
      </c>
      <c r="E9" s="4">
        <v>398</v>
      </c>
      <c r="F9" s="4">
        <v>2</v>
      </c>
      <c r="G9" s="4">
        <v>32</v>
      </c>
      <c r="H9" s="4">
        <v>340</v>
      </c>
      <c r="I9" s="15">
        <v>2.4999999999999998E-5</v>
      </c>
      <c r="J9" s="4">
        <v>4</v>
      </c>
    </row>
    <row r="10" spans="1:10">
      <c r="A10" t="s">
        <v>27</v>
      </c>
      <c r="B10" s="27">
        <v>0.56999999999999995</v>
      </c>
      <c r="C10" s="4">
        <v>1.3</v>
      </c>
      <c r="D10" s="4">
        <v>12</v>
      </c>
      <c r="E10" s="4">
        <v>335</v>
      </c>
      <c r="F10" s="4">
        <v>2.5</v>
      </c>
      <c r="G10" s="4">
        <v>13</v>
      </c>
      <c r="H10" s="4">
        <v>285</v>
      </c>
      <c r="I10" s="15">
        <v>2.9999999999999997E-5</v>
      </c>
      <c r="J10" s="4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A8A8D4C5F78418F82A480D13935C7" ma:contentTypeVersion="11" ma:contentTypeDescription="Crée un document." ma:contentTypeScope="" ma:versionID="ac77ac261b224ee65f4a7d831d8a7b1e">
  <xsd:schema xmlns:xsd="http://www.w3.org/2001/XMLSchema" xmlns:xs="http://www.w3.org/2001/XMLSchema" xmlns:p="http://schemas.microsoft.com/office/2006/metadata/properties" xmlns:ns2="f1dc9816-a2cc-4fdc-bce6-856ab86e5277" xmlns:ns3="dac438ac-f2b2-434c-a395-fad79ebeb6d4" targetNamespace="http://schemas.microsoft.com/office/2006/metadata/properties" ma:root="true" ma:fieldsID="3cbb925739cc100c97b5b1df514d49aa" ns2:_="" ns3:_="">
    <xsd:import namespace="f1dc9816-a2cc-4fdc-bce6-856ab86e5277"/>
    <xsd:import namespace="dac438ac-f2b2-434c-a395-fad79ebeb6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c9816-a2cc-4fdc-bce6-856ab86e52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a141cfe-7933-482d-bbb8-97c86f16e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c438ac-f2b2-434c-a395-fad79ebeb6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08917d-a649-4b89-a58a-e07c0cb69c65}" ma:internalName="TaxCatchAll" ma:showField="CatchAllData" ma:web="dac438ac-f2b2-434c-a395-fad79ebeb6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c438ac-f2b2-434c-a395-fad79ebeb6d4" xsi:nil="true"/>
    <lcf76f155ced4ddcb4097134ff3c332f xmlns="f1dc9816-a2cc-4fdc-bce6-856ab86e52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071667-09EF-40FA-9FE6-E6FD3F18567B}"/>
</file>

<file path=customXml/itemProps2.xml><?xml version="1.0" encoding="utf-8"?>
<ds:datastoreItem xmlns:ds="http://schemas.openxmlformats.org/officeDocument/2006/customXml" ds:itemID="{7B38C79C-03C0-42E0-AD70-659C66548FA5}"/>
</file>

<file path=customXml/itemProps3.xml><?xml version="1.0" encoding="utf-8"?>
<ds:datastoreItem xmlns:ds="http://schemas.openxmlformats.org/officeDocument/2006/customXml" ds:itemID="{91E9CE23-655F-41EB-A916-69BB9B7AE7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BECKER Lilian (EXTERNE)</cp:lastModifiedBy>
  <cp:revision/>
  <dcterms:created xsi:type="dcterms:W3CDTF">2025-09-26T12:16:59Z</dcterms:created>
  <dcterms:modified xsi:type="dcterms:W3CDTF">2025-12-29T16:01:55Z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0x0101005CAA8A8D4C5F78418F82A480D13935C7</vt:lpwstr>
  </property>
  <property fmtid="{D5CDD505-2E9C-101B-9397-08002B2CF9AE}" pid="3" name="MediaServiceImageTags">
    <vt:lpwstr/>
  </property>
</Properties>
</file>